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hryqb/Documents/My Tableau Repository/Workbooks/Government Roles &amp; Tenure in Israel/"/>
    </mc:Choice>
  </mc:AlternateContent>
  <xr:revisionPtr revIDLastSave="0" documentId="13_ncr:1_{CAC47F73-5F65-D045-94A3-E71E241CE91A}" xr6:coauthVersionLast="47" xr6:coauthVersionMax="47" xr10:uidLastSave="{00000000-0000-0000-0000-000000000000}"/>
  <bookViews>
    <workbookView xWindow="0" yWindow="680" windowWidth="30240" windowHeight="17560" xr2:uid="{00000000-000D-0000-FFFF-FFFF00000000}"/>
  </bookViews>
  <sheets>
    <sheet name="מיין" sheetId="1" r:id="rId1"/>
    <sheet name="צבא" sheetId="6" r:id="rId2"/>
    <sheet name="טבלה1 (2)" sheetId="5" r:id="rId3"/>
  </sheets>
  <definedNames>
    <definedName name="ExternalData_1" localSheetId="2" hidden="1">'טבלה1 (2)'!$A$1:$J$27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0" i="1" l="1"/>
  <c r="P119" i="1"/>
  <c r="P118" i="1"/>
  <c r="P115" i="1"/>
  <c r="P105" i="1"/>
  <c r="P104" i="1"/>
  <c r="P98" i="1"/>
  <c r="P96" i="1"/>
  <c r="P95" i="1"/>
  <c r="P94" i="1"/>
  <c r="P93" i="1"/>
  <c r="P90" i="1"/>
  <c r="P89" i="1"/>
  <c r="P88" i="1"/>
  <c r="P87" i="1"/>
  <c r="P81" i="1"/>
  <c r="P74" i="1"/>
  <c r="P69" i="1"/>
  <c r="P68" i="1"/>
  <c r="P67" i="1"/>
  <c r="P64" i="1"/>
  <c r="P63" i="1"/>
  <c r="P61" i="1"/>
  <c r="P51" i="1"/>
  <c r="P46" i="1"/>
  <c r="P43" i="1"/>
  <c r="P42" i="1"/>
  <c r="P41" i="1"/>
  <c r="P36" i="1"/>
  <c r="P27" i="1"/>
  <c r="P26" i="1"/>
  <c r="P25" i="1"/>
  <c r="P20" i="1"/>
  <c r="P17" i="1"/>
  <c r="P16" i="1"/>
  <c r="P15" i="1"/>
  <c r="P14" i="1"/>
  <c r="P13" i="1"/>
  <c r="P6" i="1"/>
  <c r="P5" i="1"/>
  <c r="P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K120" i="1"/>
  <c r="P3" i="1"/>
  <c r="P4" i="1"/>
  <c r="P7" i="1"/>
  <c r="P8" i="1"/>
  <c r="P9" i="1"/>
  <c r="P10" i="1"/>
  <c r="P11" i="1"/>
  <c r="P12" i="1"/>
  <c r="P18" i="1"/>
  <c r="P19" i="1"/>
  <c r="P21" i="1"/>
  <c r="P22" i="1"/>
  <c r="P23" i="1"/>
  <c r="P24" i="1"/>
  <c r="P28" i="1"/>
  <c r="P29" i="1"/>
  <c r="P30" i="1"/>
  <c r="P31" i="1"/>
  <c r="P32" i="1"/>
  <c r="P33" i="1"/>
  <c r="P34" i="1"/>
  <c r="P35" i="1"/>
  <c r="P37" i="1"/>
  <c r="P38" i="1"/>
  <c r="P39" i="1"/>
  <c r="P40" i="1"/>
  <c r="P44" i="1"/>
  <c r="P45" i="1"/>
  <c r="P47" i="1"/>
  <c r="P48" i="1"/>
  <c r="P49" i="1"/>
  <c r="P50" i="1"/>
  <c r="P52" i="1"/>
  <c r="P53" i="1"/>
  <c r="P54" i="1"/>
  <c r="P55" i="1"/>
  <c r="P56" i="1"/>
  <c r="P57" i="1"/>
  <c r="P58" i="1"/>
  <c r="P59" i="1"/>
  <c r="P60" i="1"/>
  <c r="P62" i="1"/>
  <c r="P65" i="1"/>
  <c r="P66" i="1"/>
  <c r="P70" i="1"/>
  <c r="P71" i="1"/>
  <c r="P72" i="1"/>
  <c r="P73" i="1"/>
  <c r="P75" i="1"/>
  <c r="P76" i="1"/>
  <c r="P77" i="1"/>
  <c r="P78" i="1"/>
  <c r="P79" i="1"/>
  <c r="P80" i="1"/>
  <c r="P82" i="1"/>
  <c r="P83" i="1"/>
  <c r="P84" i="1"/>
  <c r="P85" i="1"/>
  <c r="P86" i="1"/>
  <c r="P91" i="1"/>
  <c r="P92" i="1"/>
  <c r="P97" i="1"/>
  <c r="P99" i="1"/>
  <c r="P100" i="1"/>
  <c r="P101" i="1"/>
  <c r="P102" i="1"/>
  <c r="P103" i="1"/>
  <c r="P106" i="1"/>
  <c r="P107" i="1"/>
  <c r="P108" i="1"/>
  <c r="P109" i="1"/>
  <c r="P110" i="1"/>
  <c r="P111" i="1"/>
  <c r="P112" i="1"/>
  <c r="P113" i="1"/>
  <c r="P114" i="1"/>
  <c r="P116" i="1"/>
  <c r="P117" i="1"/>
  <c r="P121" i="1"/>
  <c r="P122" i="1"/>
  <c r="P123" i="1"/>
  <c r="P12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L2" i="1"/>
  <c r="L5" i="1"/>
  <c r="L3" i="1"/>
  <c r="L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K2" i="1"/>
  <c r="K119" i="1"/>
  <c r="K118" i="1"/>
  <c r="K115" i="1"/>
  <c r="K105" i="1"/>
  <c r="K104" i="1"/>
  <c r="K98" i="1"/>
  <c r="K96" i="1"/>
  <c r="K95" i="1"/>
  <c r="K94" i="1"/>
  <c r="K93" i="1"/>
  <c r="K90" i="1"/>
  <c r="K89" i="1"/>
  <c r="K88" i="1"/>
  <c r="K87" i="1"/>
  <c r="K81" i="1"/>
  <c r="K74" i="1"/>
  <c r="K69" i="1"/>
  <c r="K68" i="1"/>
  <c r="K67" i="1"/>
  <c r="K64" i="1"/>
  <c r="K63" i="1"/>
  <c r="K61" i="1"/>
  <c r="K51" i="1"/>
  <c r="K46" i="1"/>
  <c r="K43" i="1"/>
  <c r="K42" i="1"/>
  <c r="K41" i="1"/>
  <c r="K36" i="1"/>
  <c r="K27" i="1"/>
  <c r="K26" i="1"/>
  <c r="K25" i="1"/>
  <c r="K20" i="1"/>
  <c r="K17" i="1"/>
  <c r="K16" i="1"/>
  <c r="K15" i="1"/>
  <c r="K14" i="1"/>
  <c r="K13" i="1"/>
  <c r="K6" i="1"/>
  <c r="K5" i="1"/>
  <c r="K3" i="1" a="1"/>
  <c r="K3" i="1" s="1"/>
  <c r="K4" i="1" a="1"/>
  <c r="K4" i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8" i="1" a="1"/>
  <c r="K18" i="1"/>
  <c r="K19" i="1" a="1"/>
  <c r="K19" i="1" s="1"/>
  <c r="K21" i="1" a="1"/>
  <c r="K21" i="1" s="1"/>
  <c r="K22" i="1" a="1"/>
  <c r="K22" i="1" s="1"/>
  <c r="K23" i="1" a="1"/>
  <c r="K23" i="1" s="1"/>
  <c r="K24" i="1" a="1"/>
  <c r="K24" i="1"/>
  <c r="K28" i="1" a="1"/>
  <c r="K28" i="1"/>
  <c r="K29" i="1" a="1"/>
  <c r="K29" i="1" s="1"/>
  <c r="K30" i="1" a="1"/>
  <c r="K30" i="1" s="1"/>
  <c r="K31" i="1" a="1"/>
  <c r="K31" i="1" s="1"/>
  <c r="K32" i="1" a="1"/>
  <c r="K32" i="1" s="1"/>
  <c r="K33" i="1" a="1"/>
  <c r="K33" i="1"/>
  <c r="K34" i="1" a="1"/>
  <c r="K34" i="1"/>
  <c r="K35" i="1" a="1"/>
  <c r="K35" i="1" s="1"/>
  <c r="K37" i="1" a="1"/>
  <c r="K37" i="1" s="1"/>
  <c r="K38" i="1" a="1"/>
  <c r="K38" i="1"/>
  <c r="K39" i="1" a="1"/>
  <c r="K39" i="1" s="1"/>
  <c r="K40" i="1" a="1"/>
  <c r="K40" i="1"/>
  <c r="K44" i="1" a="1"/>
  <c r="K44" i="1" s="1"/>
  <c r="K45" i="1" a="1"/>
  <c r="K45" i="1"/>
  <c r="K47" i="1" a="1"/>
  <c r="K47" i="1" s="1"/>
  <c r="K48" i="1" a="1"/>
  <c r="K48" i="1" s="1"/>
  <c r="K49" i="1" a="1"/>
  <c r="K49" i="1"/>
  <c r="K50" i="1" a="1"/>
  <c r="K50" i="1"/>
  <c r="K52" i="1" a="1"/>
  <c r="K52" i="1" s="1"/>
  <c r="K53" i="1" a="1"/>
  <c r="K53" i="1"/>
  <c r="K54" i="1" a="1"/>
  <c r="K54" i="1"/>
  <c r="K55" i="1" a="1"/>
  <c r="K55" i="1" s="1"/>
  <c r="K56" i="1" a="1"/>
  <c r="K56" i="1" s="1"/>
  <c r="K57" i="1" a="1"/>
  <c r="K57" i="1" s="1"/>
  <c r="K58" i="1" a="1"/>
  <c r="K58" i="1"/>
  <c r="K59" i="1" a="1"/>
  <c r="K59" i="1"/>
  <c r="K60" i="1" a="1"/>
  <c r="K60" i="1"/>
  <c r="K62" i="1" a="1"/>
  <c r="K62" i="1" s="1"/>
  <c r="K65" i="1" a="1"/>
  <c r="K65" i="1"/>
  <c r="K66" i="1" a="1"/>
  <c r="K66" i="1" s="1"/>
  <c r="K70" i="1" a="1"/>
  <c r="K70" i="1"/>
  <c r="K71" i="1" a="1"/>
  <c r="K71" i="1" s="1"/>
  <c r="K72" i="1" a="1"/>
  <c r="K72" i="1" s="1"/>
  <c r="K73" i="1" a="1"/>
  <c r="K73" i="1"/>
  <c r="K75" i="1" a="1"/>
  <c r="K75" i="1" s="1"/>
  <c r="K76" i="1" a="1"/>
  <c r="K76" i="1" s="1"/>
  <c r="K77" i="1" a="1"/>
  <c r="K77" i="1" s="1"/>
  <c r="K78" i="1" a="1"/>
  <c r="K78" i="1" s="1"/>
  <c r="K79" i="1" a="1"/>
  <c r="K79" i="1"/>
  <c r="K80" i="1" a="1"/>
  <c r="K80" i="1"/>
  <c r="K82" i="1" a="1"/>
  <c r="K82" i="1" s="1"/>
  <c r="K83" i="1" a="1"/>
  <c r="K83" i="1"/>
  <c r="K84" i="1" a="1"/>
  <c r="K84" i="1"/>
  <c r="K85" i="1" a="1"/>
  <c r="K85" i="1"/>
  <c r="K86" i="1" a="1"/>
  <c r="K86" i="1" s="1"/>
  <c r="K91" i="1" a="1"/>
  <c r="K91" i="1" s="1"/>
  <c r="K92" i="1" a="1"/>
  <c r="K92" i="1" s="1"/>
  <c r="K97" i="1" a="1"/>
  <c r="K97" i="1" s="1"/>
  <c r="K99" i="1" a="1"/>
  <c r="K99" i="1"/>
  <c r="K100" i="1" a="1"/>
  <c r="K100" i="1" s="1"/>
  <c r="K101" i="1" a="1"/>
  <c r="K101" i="1" s="1"/>
  <c r="K102" i="1" a="1"/>
  <c r="K102" i="1" s="1"/>
  <c r="K103" i="1" a="1"/>
  <c r="K103" i="1"/>
  <c r="K106" i="1" a="1"/>
  <c r="K106" i="1" s="1"/>
  <c r="K107" i="1" a="1"/>
  <c r="K107" i="1" s="1"/>
  <c r="K108" i="1" a="1"/>
  <c r="K108" i="1" s="1"/>
  <c r="K109" i="1" a="1"/>
  <c r="K109" i="1"/>
  <c r="K110" i="1" a="1"/>
  <c r="K110" i="1"/>
  <c r="K111" i="1" a="1"/>
  <c r="K111" i="1" s="1"/>
  <c r="K112" i="1" a="1"/>
  <c r="K112" i="1" s="1"/>
  <c r="K113" i="1" a="1"/>
  <c r="K113" i="1"/>
  <c r="K114" i="1" a="1"/>
  <c r="K114" i="1" s="1"/>
  <c r="K116" i="1" a="1"/>
  <c r="K116" i="1" s="1"/>
  <c r="K117" i="1" a="1"/>
  <c r="K117" i="1" s="1"/>
  <c r="K121" i="1" a="1"/>
  <c r="K121" i="1" s="1"/>
  <c r="K122" i="1" a="1"/>
  <c r="K122" i="1" s="1"/>
  <c r="K123" i="1" a="1"/>
  <c r="K123" i="1"/>
  <c r="K124" i="1" a="1"/>
  <c r="K12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U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9B3A35-59E8-DC42-AC74-C26178B0FE41}" keepAlive="1" name="שאילתה - טבלה1" description="‏‏חיבור לשאילתה 'טבלה1' בחוברת העבודה." type="5" refreshedVersion="8" background="1" saveData="1">
    <dbPr connection="Provider=Microsoft.Mashup.OleDb.1;Data Source=$Workbook$;Location=טבלה1;Extended Properties=&quot;&quot;" command="SELECT * FROM [טבלה1]"/>
  </connection>
  <connection id="2" xr16:uid="{02B1CDBD-B647-FD49-AB10-510AE5C4CC07}" keepAlive="1" name="שאילתה - טבלה1 (2)" description="‏‏חיבור לשאילתה 'טבלה1 (2)' בחוברת העבודה." type="5" refreshedVersion="8" background="1" saveData="1">
    <dbPr connection="Provider=Microsoft.Mashup.OleDb.1;Data Source=$Workbook$;Location=&quot;טבלה1 (2)&quot;;Extended Properties=&quot;&quot;" command="SELECT * FROM [טבלה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<sst xmlns="http://schemas.openxmlformats.org/spreadsheetml/2006/main" count="835" uniqueCount="295">
  <si>
    <t>שם האישיות</t>
  </si>
  <si>
    <t>ממשלה</t>
  </si>
  <si>
    <t>תפקיד</t>
  </si>
  <si>
    <t>מפלגה</t>
  </si>
  <si>
    <t>קטגוריה</t>
  </si>
  <si>
    <t>שנת התחלה</t>
  </si>
  <si>
    <t>שנת סיום</t>
  </si>
  <si>
    <t>בנימין נתניהו</t>
  </si>
  <si>
    <t>ראש הממשלה</t>
  </si>
  <si>
    <t>ליכוד</t>
  </si>
  <si>
    <t>ראשות הממשלה</t>
  </si>
  <si>
    <t>שר הבריאות</t>
  </si>
  <si>
    <t>פנים וחברה</t>
  </si>
  <si>
    <t>שר המדע, התרבות והספורט</t>
  </si>
  <si>
    <t>חינוך / חברה ותרבות</t>
  </si>
  <si>
    <t>אחר/כללי (אסטרטגיה כלכלית)</t>
  </si>
  <si>
    <t>אחר/כללי</t>
  </si>
  <si>
    <t>ליכוד-ביתנו</t>
  </si>
  <si>
    <t>שר החוץ</t>
  </si>
  <si>
    <t>מדיני</t>
  </si>
  <si>
    <t>השר להסברה ולענייני תפוצות</t>
  </si>
  <si>
    <t>מדיני / חברה ותרבות</t>
  </si>
  <si>
    <t>34+</t>
  </si>
  <si>
    <t>הליכוד</t>
  </si>
  <si>
    <t>שר התקשורת</t>
  </si>
  <si>
    <t>תשתיות</t>
  </si>
  <si>
    <t>השר לשיתוף פעולה אזורי</t>
  </si>
  <si>
    <t>בני גנץ</t>
  </si>
  <si>
    <t>שר הביטחון</t>
  </si>
  <si>
    <t>כחול לבן</t>
  </si>
  <si>
    <t>ביטחון</t>
  </si>
  <si>
    <t>ראש ממשלה חלופי</t>
  </si>
  <si>
    <t>יאיר לפיד</t>
  </si>
  <si>
    <t>שר האוצר</t>
  </si>
  <si>
    <t>יש עתיד</t>
  </si>
  <si>
    <t>כלכלי</t>
  </si>
  <si>
    <t>נפתלי בנט</t>
  </si>
  <si>
    <t>שר התעשייה, המסחר והתעסוקה</t>
  </si>
  <si>
    <t>הבית היהודי</t>
  </si>
  <si>
    <t>שר לשירותי דת</t>
  </si>
  <si>
    <t>השר לענייני ירושלים והתפוצות</t>
  </si>
  <si>
    <t>חברה ותרבות</t>
  </si>
  <si>
    <t>ימינה</t>
  </si>
  <si>
    <t>אביגדור ליברמן</t>
  </si>
  <si>
    <t>ישראל ביתנו</t>
  </si>
  <si>
    <t>אחר/כללי (סגן רה"מ)</t>
  </si>
  <si>
    <t>ישראל כ"ץ</t>
  </si>
  <si>
    <t>שר התחבורה והבטיחות בדרכים</t>
  </si>
  <si>
    <t>שר התחבורה, תשתיות לאומיות ובטיחות בדרכים</t>
  </si>
  <si>
    <t>שר התחבורה</t>
  </si>
  <si>
    <t>אריה דרעי</t>
  </si>
  <si>
    <t>שר הכלכלה</t>
  </si>
  <si>
    <t>ש"ס</t>
  </si>
  <si>
    <t>השר לפיתוח הנגב והגליל</t>
  </si>
  <si>
    <t>שר הפנים</t>
  </si>
  <si>
    <t>בצלאל סמוטריץ'</t>
  </si>
  <si>
    <t>הציונות הדתית</t>
  </si>
  <si>
    <t>איתמר בן גביר</t>
  </si>
  <si>
    <t>השר לביטחון לאומי</t>
  </si>
  <si>
    <t>עוצמה יהודית</t>
  </si>
  <si>
    <t>ביטחון פנים</t>
  </si>
  <si>
    <t>גדעון סער</t>
  </si>
  <si>
    <t>שר החינוך</t>
  </si>
  <si>
    <t>חינוך</t>
  </si>
  <si>
    <t>שר המשפטים</t>
  </si>
  <si>
    <t>תקווה חדשה</t>
  </si>
  <si>
    <t>משפט</t>
  </si>
  <si>
    <t>יואב גלנט</t>
  </si>
  <si>
    <t>שר הבינוי</t>
  </si>
  <si>
    <t>כולנו</t>
  </si>
  <si>
    <t>משה כחלון</t>
  </si>
  <si>
    <t>איילת שקד</t>
  </si>
  <si>
    <t>שרת המשפטים</t>
  </si>
  <si>
    <t>שרת הפנים</t>
  </si>
  <si>
    <t>מרב מיכאלי</t>
  </si>
  <si>
    <t>שרת התחבורה</t>
  </si>
  <si>
    <t>העבודה</t>
  </si>
  <si>
    <t>מירי רגב</t>
  </si>
  <si>
    <t>שרת התרבות והספורט</t>
  </si>
  <si>
    <t>יובל שטייניץ</t>
  </si>
  <si>
    <t>שר לעניינים אסטרטגיים</t>
  </si>
  <si>
    <t>שר לענייני מודיעין</t>
  </si>
  <si>
    <t>אחר/כללי (יחסים בינלאומיים)</t>
  </si>
  <si>
    <t>שר האנרגיה</t>
  </si>
  <si>
    <t>גלעד ארדן</t>
  </si>
  <si>
    <t>השר להגנת הסביבה</t>
  </si>
  <si>
    <t>אחר/כללי (המקשר בין הממשלה לכנסת)</t>
  </si>
  <si>
    <t>השר להגנת העורף</t>
  </si>
  <si>
    <t>שר לביטחון פנים</t>
  </si>
  <si>
    <t>עמר בר-לב</t>
  </si>
  <si>
    <t>אלי כהן</t>
  </si>
  <si>
    <t>יצחק כהן</t>
  </si>
  <si>
    <t>סגן שר האוצר</t>
  </si>
  <si>
    <t>אלי בן-דנון</t>
  </si>
  <si>
    <t>סגן שר הביטחון</t>
  </si>
  <si>
    <t>ציפי חוטובלי</t>
  </si>
  <si>
    <t>סגנית שר החוץ</t>
  </si>
  <si>
    <t>עביר כארה</t>
  </si>
  <si>
    <t>סגן שר הרפורמות הכלכליות במשרד ראש הממשלה</t>
  </si>
  <si>
    <t>אלון שוסטר</t>
  </si>
  <si>
    <t>עידן רול</t>
  </si>
  <si>
    <t>סגן שר החוץ</t>
  </si>
  <si>
    <t>מאיר יצחק הלוי</t>
  </si>
  <si>
    <t>סגן שר החינוך</t>
  </si>
  <si>
    <t>יואב סגלוביץ'</t>
  </si>
  <si>
    <t>סגן שר לביטחון פנים</t>
  </si>
  <si>
    <t>יאיר גולן</t>
  </si>
  <si>
    <t>סגן שר הכלכלה</t>
  </si>
  <si>
    <t>סגן שר במשרד ראש הממשלה (תרבות יהודית)</t>
  </si>
  <si>
    <t>נעם</t>
  </si>
  <si>
    <t>סילבן שלום</t>
  </si>
  <si>
    <t>אחר/כללי (משנה לרה"מ)</t>
  </si>
  <si>
    <t>שר האנרגיה והמים</t>
  </si>
  <si>
    <t>דן מרידור</t>
  </si>
  <si>
    <t>השר לענייני מודיעין</t>
  </si>
  <si>
    <t>אחר/כללי (אחראי על שירותי המודיעין והוא"א)</t>
  </si>
  <si>
    <t>אהוד ברק</t>
  </si>
  <si>
    <t>עבודה</t>
  </si>
  <si>
    <t>אלי ישי</t>
  </si>
  <si>
    <t>אריאל אטיאס</t>
  </si>
  <si>
    <t>שר הבינוי והשיכון</t>
  </si>
  <si>
    <t>מיכאל איתן</t>
  </si>
  <si>
    <t>השר לשיפור השירות הממשלתי לאזרח</t>
  </si>
  <si>
    <t>זאב ב. בגין</t>
  </si>
  <si>
    <t>שר בלי תיק</t>
  </si>
  <si>
    <t>בנימין בגין</t>
  </si>
  <si>
    <t>אבישי ברוורמן</t>
  </si>
  <si>
    <t>השר הממונה על ענייני המיעוטים</t>
  </si>
  <si>
    <t>יצחק הרצוג</t>
  </si>
  <si>
    <t>שר הרווחה והשירותים החברתיים</t>
  </si>
  <si>
    <t>דניאל הרשקוביץ</t>
  </si>
  <si>
    <t>שר המדע והטכנולוגיה</t>
  </si>
  <si>
    <t>עוזי לנדאו</t>
  </si>
  <si>
    <t>שר התשתיות הלאומיות</t>
  </si>
  <si>
    <t>שר התיירות</t>
  </si>
  <si>
    <t>סופה לנדבר</t>
  </si>
  <si>
    <t>שרת העלייה והקליטה</t>
  </si>
  <si>
    <t>סטס מיסז'ניקוב</t>
  </si>
  <si>
    <t>יעקב מרגי</t>
  </si>
  <si>
    <t>יעקב נאמן</t>
  </si>
  <si>
    <t>משולם נהרי</t>
  </si>
  <si>
    <t>אחר/כללי (אחראי על חברה ומורשת ישראל)</t>
  </si>
  <si>
    <t>יוסי פלד</t>
  </si>
  <si>
    <t>שלום שמחון</t>
  </si>
  <si>
    <t>אורית נוקד</t>
  </si>
  <si>
    <t>שרת החקלאות ופיתוח הכפר</t>
  </si>
  <si>
    <t>מתן וילנאי</t>
  </si>
  <si>
    <t>שאול מופז</t>
  </si>
  <si>
    <t>קדימה</t>
  </si>
  <si>
    <t>התנועה</t>
  </si>
  <si>
    <t>אורי יהודה אריאל</t>
  </si>
  <si>
    <t>אורי אריאל</t>
  </si>
  <si>
    <t>שר החקלאות ופיתוח הכפר</t>
  </si>
  <si>
    <t>יעל גרמן</t>
  </si>
  <si>
    <t>שרת הבריאות</t>
  </si>
  <si>
    <t>מאיר כהן</t>
  </si>
  <si>
    <t>שי פירון</t>
  </si>
  <si>
    <t>יעקב פרי</t>
  </si>
  <si>
    <t>ציפי לבני</t>
  </si>
  <si>
    <t>יאיר שמיר</t>
  </si>
  <si>
    <t>דוד אזולאי</t>
  </si>
  <si>
    <t>זאב אלקין</t>
  </si>
  <si>
    <t>שר העלייה והקליטה</t>
  </si>
  <si>
    <t>אחר/כללי (שר מיועד לעניינים אסטרטגיים)</t>
  </si>
  <si>
    <t>חיים כץ</t>
  </si>
  <si>
    <t>יריב לוין</t>
  </si>
  <si>
    <t>שנת ממשלה</t>
  </si>
  <si>
    <t>מזהה כהונה</t>
  </si>
  <si>
    <t>שם</t>
  </si>
  <si>
    <t>תואר</t>
  </si>
  <si>
    <t>מקום תואר</t>
  </si>
  <si>
    <t>כמות תארים</t>
  </si>
  <si>
    <t>תחום</t>
  </si>
  <si>
    <t>כלכלה</t>
  </si>
  <si>
    <t>תחום 2</t>
  </si>
  <si>
    <t>מדעי המחשב</t>
  </si>
  <si>
    <t>עמיר פרץ</t>
  </si>
  <si>
    <t>id</t>
  </si>
  <si>
    <t>תואר ראשון</t>
  </si>
  <si>
    <t>משפטים</t>
  </si>
  <si>
    <t>ניהול</t>
  </si>
  <si>
    <t>אוניברסיטת תל אביב</t>
  </si>
  <si>
    <t>אוניברסיטת חיפה</t>
  </si>
  <si>
    <t>אוניברסיטת בר-אילן</t>
  </si>
  <si>
    <t>תואר ראשון, מוסמך</t>
  </si>
  <si>
    <t>אבי מעוז</t>
  </si>
  <si>
    <t>יואב סגלוביץ</t>
  </si>
  <si>
    <t>פילוסופיה</t>
  </si>
  <si>
    <t>ישראל כץ</t>
  </si>
  <si>
    <t>מדעי המדינה</t>
  </si>
  <si>
    <t>מתמטיקה</t>
  </si>
  <si>
    <t>מיקום תואר 1</t>
  </si>
  <si>
    <t>מיקום תואר2</t>
  </si>
  <si>
    <t>מיקום תואר3</t>
  </si>
  <si>
    <t>אוניברסיטת ירושלים</t>
  </si>
  <si>
    <t>ממשל</t>
  </si>
  <si>
    <t>תואר ראשון, BSc, הוסמך</t>
  </si>
  <si>
    <t>הנדסת חשמל</t>
  </si>
  <si>
    <t>אקדמית אונו</t>
  </si>
  <si>
    <t>אוניברסיטת בן-גוריון</t>
  </si>
  <si>
    <t>תואר ראשון, תואר שני</t>
  </si>
  <si>
    <t>אוניברסיטת פלורידה, ירושלים</t>
  </si>
  <si>
    <t>מדיניות ציבורית</t>
  </si>
  <si>
    <t>אוניברסיטת פלורידה</t>
  </si>
  <si>
    <t xml:space="preserve"> ירושלים</t>
  </si>
  <si>
    <t>אוניברסיטת תל אביב, האוניברסיטה הפתוחה</t>
  </si>
  <si>
    <t>מנהל עסקים</t>
  </si>
  <si>
    <t xml:space="preserve"> האוניברסיטה הפתוחה</t>
  </si>
  <si>
    <t>אוניברסיטת תל אביב, אוניברסיטת חיפה, אוניברסיטת לבטחון לאומי בUSA</t>
  </si>
  <si>
    <t>ניהול משאבים בינלאומיים</t>
  </si>
  <si>
    <t xml:space="preserve"> אוניברסיטת חיפה</t>
  </si>
  <si>
    <t xml:space="preserve"> אוניברסיטת לבטחון לאומי בUSA</t>
  </si>
  <si>
    <t>אוניברסיטת MIT, אוניברסיטת MIT בסלואן</t>
  </si>
  <si>
    <t>אדריכלות</t>
  </si>
  <si>
    <t>אוניברסיטת MIT</t>
  </si>
  <si>
    <t xml:space="preserve"> אוניברסיטת MIT בסלואן</t>
  </si>
  <si>
    <t>אוניברסיטת תל אביב, אוניברסיטת הרווארד</t>
  </si>
  <si>
    <t xml:space="preserve"> אוניברסיטת הרווארד</t>
  </si>
  <si>
    <t>תואר שני ללא ראשון</t>
  </si>
  <si>
    <t xml:space="preserve">אוניברסיטת בר-אילן </t>
  </si>
  <si>
    <t>פרשנות ותרבות</t>
  </si>
  <si>
    <t>אקדמית בית ברל, אקדמית אונו</t>
  </si>
  <si>
    <t>חינוך בלתי פורמלי</t>
  </si>
  <si>
    <t>אקדמית בית ברל</t>
  </si>
  <si>
    <t xml:space="preserve"> אקדמית אונו</t>
  </si>
  <si>
    <t>אוניברסיטת חיפה, מכללת נתניה</t>
  </si>
  <si>
    <t xml:space="preserve"> מכללת נתניה</t>
  </si>
  <si>
    <t>הדר מוכתר</t>
  </si>
  <si>
    <t>אוניברסיטת חיפה, אוניברסיטת תל אביב</t>
  </si>
  <si>
    <t xml:space="preserve"> אוניברסיטת תל אביב</t>
  </si>
  <si>
    <t>תארים</t>
  </si>
  <si>
    <t>מקום1</t>
  </si>
  <si>
    <t>מקום2</t>
  </si>
  <si>
    <t>רמות תארים</t>
  </si>
  <si>
    <t>תחום1</t>
  </si>
  <si>
    <t>תחום2</t>
  </si>
  <si>
    <t>שרים בנוכחי או בבא</t>
  </si>
  <si>
    <t>אלוף</t>
  </si>
  <si>
    <t>סרן</t>
  </si>
  <si>
    <t>טוראי</t>
  </si>
  <si>
    <t>דרגה ביכרה בצה״ל</t>
  </si>
  <si>
    <t>רב״ט</t>
  </si>
  <si>
    <t>סמל</t>
  </si>
  <si>
    <t>סגן אלוף</t>
  </si>
  <si>
    <t>סגן</t>
  </si>
  <si>
    <t>רב סרן</t>
  </si>
  <si>
    <t>טוראי ( 3 חודשים)</t>
  </si>
  <si>
    <t>רב אלוף</t>
  </si>
  <si>
    <t>סמ״ר (14 חודשים)</t>
  </si>
  <si>
    <t>סמ״ר</t>
  </si>
  <si>
    <t>קצין מודיעין</t>
  </si>
  <si>
    <t>סמ״ל</t>
  </si>
  <si>
    <t>רס״ר</t>
  </si>
  <si>
    <t>תת אלוף</t>
  </si>
  <si>
    <t>?</t>
  </si>
  <si>
    <t>רב סמל</t>
  </si>
  <si>
    <t>אלוף משנה</t>
  </si>
  <si>
    <t>שירות לאומי</t>
  </si>
  <si>
    <t>מצב משפחתי</t>
  </si>
  <si>
    <t>בן/בת הזוג</t>
  </si>
  <si>
    <t>נשוי</t>
  </si>
  <si>
    <t>חגית מעוז</t>
  </si>
  <si>
    <t>אלה ליברמן</t>
  </si>
  <si>
    <t>נשואה</t>
  </si>
  <si>
    <t>אופיר שקד</t>
  </si>
  <si>
    <t>איילה בן גביר</t>
  </si>
  <si>
    <t>דבי שוסטר</t>
  </si>
  <si>
    <t>לא מפורט במידע ציבורי נגיש</t>
  </si>
  <si>
    <t>לילך כהן</t>
  </si>
  <si>
    <t>יפה דרעי</t>
  </si>
  <si>
    <t>רויטל גנץ</t>
  </si>
  <si>
    <t>שרה נתניהו</t>
  </si>
  <si>
    <t>רבקה סמוטריץ'</t>
  </si>
  <si>
    <t>גאולה אבן-סער</t>
  </si>
  <si>
    <t>שלומית ארדן</t>
  </si>
  <si>
    <t>רותי גולן</t>
  </si>
  <si>
    <t>ליהיא לפיד</t>
  </si>
  <si>
    <t>קלודין גלנט</t>
  </si>
  <si>
    <t>אורית סגלוביץ'</t>
  </si>
  <si>
    <t>רבקה פאלוך</t>
  </si>
  <si>
    <t>ריבי כ"ץ</t>
  </si>
  <si>
    <t>דנה יצחק הלוי</t>
  </si>
  <si>
    <t>דרור רגב</t>
  </si>
  <si>
    <t>בזוגיות (לא נשואה)</t>
  </si>
  <si>
    <t>ליאור אשכנזי</t>
  </si>
  <si>
    <t>ליקי כחלון</t>
  </si>
  <si>
    <t>גילת בנט</t>
  </si>
  <si>
    <t>עמאד כארה</t>
  </si>
  <si>
    <t>בזוגיות רשומה/נישואין אזרחיים</t>
  </si>
  <si>
    <t>הראל סקעת</t>
  </si>
  <si>
    <t>יעל בר-לב</t>
  </si>
  <si>
    <t>אור אלון</t>
  </si>
  <si>
    <t>רווקה (בזוגיות פומבית)</t>
  </si>
  <si>
    <t>גיא שמחי</t>
  </si>
  <si>
    <t>שנים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</si>
</sst>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i/>
      <sz val="10"/>
      <color rgb="FF1F1F1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B808A3-CA8E-2643-862B-133D66E93125}" autoFormatId="16" applyNumberFormats="0" applyBorderFormats="0" applyFontFormats="0" applyPatternFormats="0" applyAlignmentFormats="0" applyWidthHeightFormats="0">
  <queryTableRefresh nextId="11">
    <queryTableFields count="10">
      <queryTableField id="1" name="שם" tableColumnId="1"/>
      <queryTableField id="2" name="תואר" tableColumnId="2"/>
      <queryTableField id="3" name="מקום תואר" tableColumnId="3"/>
      <queryTableField id="4" name="כמות תארים" tableColumnId="4"/>
      <queryTableField id="5" name="תחום" tableColumnId="5"/>
      <queryTableField id="6" name="תחום 2" tableColumnId="6"/>
      <queryTableField id="7" name="id" tableColumnId="7"/>
      <queryTableField id="8" name="מיקום תואר 1" tableColumnId="8"/>
      <queryTableField id="9" name="מיקום תואר2" tableColumnId="9"/>
      <queryTableField id="10" name="מיקום תואר3" tableColumnId="1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AFB5D-E458-A14E-8D95-1B75FD95903F}" name="main" displayName="main" ref="A1:R125" totalsRowShown="0" headerRowDxfId="31" dataDxfId="30">
  <autoFilter ref="A1:R125" xr:uid="{9E7AFB5D-E458-A14E-8D95-1B75FD95903F}">
    <filterColumn colId="2">
      <filters>
        <filter val="34+"/>
      </filters>
    </filterColumn>
  </autoFilter>
  <sortState xmlns:xlrd2="http://schemas.microsoft.com/office/spreadsheetml/2017/richdata2" ref="A2:H124">
    <sortCondition ref="B1:B124"/>
  </sortState>
  <tableColumns count="18">
    <tableColumn id="1" xr3:uid="{995908E9-2C77-B24A-9C8E-F7B0A4BB6365}" name="מזהה כהונה" dataDxfId="29"/>
    <tableColumn id="2" xr3:uid="{1FF01B1F-DF2F-534E-98BF-1B6EF76D2904}" name="שם האישיות" dataDxfId="28"/>
    <tableColumn id="3" xr3:uid="{98A393F8-7C93-1841-8B6A-0A9973FA8DC6}" name="ממשלה" dataDxfId="27"/>
    <tableColumn id="4" xr3:uid="{76A89AB6-05FF-0A44-B7FB-A246610DEA36}" name="תפקיד" dataDxfId="26"/>
    <tableColumn id="5" xr3:uid="{5ACC67DD-C851-0B43-AC99-30134AA00A61}" name="מפלגה" dataDxfId="25"/>
    <tableColumn id="6" xr3:uid="{94F0477F-D802-074E-8180-2AED20D1A129}" name="קטגוריה" dataDxfId="24"/>
    <tableColumn id="7" xr3:uid="{5B0F9B75-BC4C-F24B-B0A4-4DA21993B1CA}" name="שנת התחלה" dataDxfId="23"/>
    <tableColumn id="8" xr3:uid="{FC42E779-B3CA-EE48-BB9B-E31F168928E7}" name="שנת סיום" dataDxfId="22"/>
    <tableColumn id="9" xr3:uid="{618BD717-1A1A-AD4D-B549-41950F9949FB}" name="שנים" dataDxfId="21">
      <calculatedColumnFormula>main[[#This Row],[שנת סיום]]-main[[#This Row],[שנת התחלה]]</calculatedColumnFormula>
    </tableColumn>
    <tableColumn id="11" xr3:uid="{86F1B9AC-14F9-AF47-B842-184FDBE4284C}" name="שנת ממשלה" dataDxfId="20">
      <calculatedColumnFormula>CONCATENATE(main[[#This Row],[שנת התחלה]], "-", main[[#This Row],[שנת סיום]])</calculatedColumnFormula>
    </tableColumn>
    <tableColumn id="10" xr3:uid="{BE869C4D-3D8E-2B4F-96FC-734E590B2822}" name="תארים" dataDxfId="19">
      <calculatedColumnFormula array="1">vloo</calculatedColumnFormula>
    </tableColumn>
    <tableColumn id="12" xr3:uid="{09D4F186-6BC2-104A-8E4C-BE94B057A8E7}" name="מקום1" dataDxfId="18">
      <calculatedColumnFormula>VLOOKUP(B2,תארים[],8,TRUE)</calculatedColumnFormula>
    </tableColumn>
    <tableColumn id="13" xr3:uid="{832620DC-5F44-E640-BB0F-30610A2DF17E}" name="מקום2" dataDxfId="17">
      <calculatedColumnFormula>VLOOKUP(B2,תארים[],9,TRUE)</calculatedColumnFormula>
    </tableColumn>
    <tableColumn id="14" xr3:uid="{87C8606D-935C-364E-82C6-A66816EAC80F}" name="רמות תארים" dataDxfId="16">
      <calculatedColumnFormula>VLOOKUP(B2,תארים[],4,TRUE)</calculatedColumnFormula>
    </tableColumn>
    <tableColumn id="15" xr3:uid="{204E5343-7B36-6A4E-8F9D-3489D30B1B12}" name="תחום1" dataDxfId="15">
      <calculatedColumnFormula>VLOOKUP(B2,תארים[],5,TRUE)</calculatedColumnFormula>
    </tableColumn>
    <tableColumn id="16" xr3:uid="{CA34363F-56F1-274A-8920-D357CD8E2594}" name="תחום2" dataDxfId="14">
      <calculatedColumnFormula>VLOOKUP(B2,תארים[],5,TRUE)</calculatedColumnFormula>
    </tableColumn>
    <tableColumn id="17" xr3:uid="{6033B73A-640D-554C-9039-BAC060C791A3}" name="34+" dataDxfId="13">
      <calculatedColumnFormula>IF(main[[#This Row],[ממשלה]]="34+",1,"")</calculatedColumnFormula>
    </tableColumn>
    <tableColumn id="18" xr3:uid="{38DDD94F-33B4-2646-BCAA-F94B18C0F7CB}" name="דרגה ביכרה בצה״ל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09DA3E-402A-524B-BAA2-F8B7D6B96DFB}" name="נישואין" displayName="נישואין" ref="A1:C31" totalsRowShown="0" headerRowDxfId="0">
  <autoFilter ref="A1:C31" xr:uid="{A909DA3E-402A-524B-BAA2-F8B7D6B96DFB}"/>
  <tableColumns count="3">
    <tableColumn id="1" xr3:uid="{B05518BB-2305-F84A-9E79-CB5C2CC6CA95}" name="שם האישיות" dataDxfId="3"/>
    <tableColumn id="2" xr3:uid="{9DE470C1-EFD5-1943-B647-DDBC0BEEDD32}" name="מצב משפחתי" dataDxfId="2"/>
    <tableColumn id="3" xr3:uid="{567EFD9E-BBDE-A545-942B-999102AC3435}" name="בן/בת הזוג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50DBC6-621E-F044-8ECE-9E5B03349322}" name="תארים" displayName="תארים" ref="A1:J27" tableType="queryTable" totalsRowShown="0">
  <autoFilter ref="A1:J27" xr:uid="{E950DBC6-621E-F044-8ECE-9E5B03349322}"/>
  <tableColumns count="10">
    <tableColumn id="1" xr3:uid="{4E18EBC3-4878-B54F-9607-6262DC9C59BA}" uniqueName="1" name="שם" queryTableFieldId="1" dataDxfId="11"/>
    <tableColumn id="2" xr3:uid="{D40FB093-2102-7B48-9FE0-82B5E81F3E7A}" uniqueName="2" name="תואר" queryTableFieldId="2" dataDxfId="10"/>
    <tableColumn id="3" xr3:uid="{D03607C6-8025-194D-BE1D-B9BF4E22F626}" uniqueName="3" name="מקום תואר" queryTableFieldId="3" dataDxfId="9"/>
    <tableColumn id="4" xr3:uid="{CA7EFD9A-22B8-4348-96B2-8ABD70015685}" uniqueName="4" name="כמות תארים" queryTableFieldId="4"/>
    <tableColumn id="5" xr3:uid="{F2404644-6004-D440-93D4-2F49A75D8DA8}" uniqueName="5" name="תחום" queryTableFieldId="5" dataDxfId="8"/>
    <tableColumn id="6" xr3:uid="{B6513060-5855-A148-B38D-946C6E97E01F}" uniqueName="6" name="תחום 2" queryTableFieldId="6" dataDxfId="7"/>
    <tableColumn id="7" xr3:uid="{DF0545B2-7883-2244-88D3-3AF3AC1DC806}" uniqueName="7" name="id" queryTableFieldId="7"/>
    <tableColumn id="8" xr3:uid="{7E1F5500-680A-2A47-B4E0-744D9813D250}" uniqueName="8" name="מיקום תואר 1" queryTableFieldId="8" dataDxfId="6"/>
    <tableColumn id="9" xr3:uid="{91891E5D-B655-4A4D-AAE4-EAB274213014}" uniqueName="9" name="מיקום תואר2" queryTableFieldId="9" dataDxfId="5"/>
    <tableColumn id="10" xr3:uid="{6556F47C-AC9D-F646-90F5-6709A7AD1CC3}" uniqueName="10" name="מיקום תואר3" queryTableFieldId="10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25"/>
  <sheetViews>
    <sheetView tabSelected="1" workbookViewId="0">
      <selection activeCell="A125" sqref="A125"/>
    </sheetView>
  </sheetViews>
  <sheetFormatPr baseColWidth="10" defaultColWidth="12.6640625" defaultRowHeight="15.75" customHeight="1" x14ac:dyDescent="0.15"/>
  <cols>
    <col min="3" max="3" width="6.1640625" bestFit="1" customWidth="1"/>
    <col min="4" max="4" width="34.6640625" bestFit="1" customWidth="1"/>
    <col min="12" max="12" width="14.33203125" bestFit="1" customWidth="1"/>
    <col min="13" max="13" width="17.33203125" bestFit="1" customWidth="1"/>
  </cols>
  <sheetData>
    <row r="1" spans="1:22" ht="15.75" customHeight="1" x14ac:dyDescent="0.15">
      <c r="A1" s="1" t="s">
        <v>167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294</v>
      </c>
      <c r="J1" s="2" t="s">
        <v>166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22</v>
      </c>
      <c r="R1" s="1" t="s">
        <v>240</v>
      </c>
    </row>
    <row r="2" spans="1:22" ht="15.75" customHeight="1" x14ac:dyDescent="0.15">
      <c r="A2" s="1">
        <v>57.1</v>
      </c>
      <c r="B2" s="1" t="s">
        <v>185</v>
      </c>
      <c r="C2" s="1" t="s">
        <v>22</v>
      </c>
      <c r="D2" s="1" t="s">
        <v>108</v>
      </c>
      <c r="E2" s="1" t="s">
        <v>109</v>
      </c>
      <c r="F2" s="1" t="s">
        <v>41</v>
      </c>
      <c r="G2" s="1">
        <v>2023</v>
      </c>
      <c r="H2" s="1">
        <v>2025</v>
      </c>
      <c r="I2" s="2">
        <f>main[[#This Row],[שנת סיום]]-main[[#This Row],[שנת התחלה]]</f>
        <v>2</v>
      </c>
      <c r="J2" s="2" t="str">
        <f>CONCATENATE(main[[#This Row],[שנת התחלה]], "-", main[[#This Row],[שנת סיום]])</f>
        <v>2023-2025</v>
      </c>
      <c r="K2" s="1">
        <f>VLOOKUP(B2,תארים[],2,TRUE)</f>
        <v>0</v>
      </c>
      <c r="L2" s="1">
        <f>VLOOKUP(B2,תארים[],8,TRUE)</f>
        <v>0</v>
      </c>
      <c r="M2" s="1">
        <f>VLOOKUP(B2,תארים[],9,TRUE)</f>
        <v>0</v>
      </c>
      <c r="N2" s="1">
        <f>VLOOKUP(B2,תארים[],4,TRUE)</f>
        <v>0</v>
      </c>
      <c r="O2" s="1">
        <f>VLOOKUP(B2,תארים[],5,TRUE)</f>
        <v>0</v>
      </c>
      <c r="P2" s="1">
        <f>VLOOKUP(B2,תארים[],6,TRUE)</f>
        <v>0</v>
      </c>
      <c r="Q2" s="1">
        <f>IF(main[[#This Row],[ממשלה]]="34+",1,"")</f>
        <v>1</v>
      </c>
      <c r="R2" s="1"/>
      <c r="U2">
        <f>SUM(Q:Q)</f>
        <v>42</v>
      </c>
      <c r="V2" s="4" t="s">
        <v>236</v>
      </c>
    </row>
    <row r="3" spans="1:22" ht="15.75" hidden="1" customHeight="1" x14ac:dyDescent="0.15">
      <c r="A3" s="1">
        <v>13.1</v>
      </c>
      <c r="B3" t="s">
        <v>43</v>
      </c>
      <c r="C3" s="1">
        <v>32</v>
      </c>
      <c r="D3" s="1" t="s">
        <v>18</v>
      </c>
      <c r="E3" s="1" t="s">
        <v>44</v>
      </c>
      <c r="F3" s="1" t="s">
        <v>19</v>
      </c>
      <c r="G3" s="1">
        <v>2009</v>
      </c>
      <c r="H3" s="1">
        <v>2013</v>
      </c>
      <c r="I3" s="2">
        <f>main[[#This Row],[שנת סיום]]-main[[#This Row],[שנת התחלה]]</f>
        <v>4</v>
      </c>
      <c r="J3" s="2" t="str">
        <f>CONCATENATE(main[[#This Row],[שנת התחלה]], "-", main[[#This Row],[שנת סיום]])</f>
        <v>2009-2013</v>
      </c>
      <c r="K3" s="1" t="e" cm="1">
        <f t="array" ref="K3">vloo</f>
        <v>#NAME?</v>
      </c>
      <c r="L3" s="1" t="str">
        <f>VLOOKUP(B3,תארים[],8,TRUE)</f>
        <v>אוניברסיטת ירושלים</v>
      </c>
      <c r="M3" s="1">
        <f>VLOOKUP(B3,תארים[],9,TRUE)</f>
        <v>0</v>
      </c>
      <c r="N3" s="1">
        <f>VLOOKUP(B3,תארים[],4,TRUE)</f>
        <v>1</v>
      </c>
      <c r="O3" s="1" t="str">
        <f>VLOOKUP(B3,תארים[],5,TRUE)</f>
        <v>ממשל</v>
      </c>
      <c r="P3" s="1" t="str">
        <f>VLOOKUP(B3,תארים[],5,TRUE)</f>
        <v>ממשל</v>
      </c>
      <c r="Q3" s="1" t="str">
        <f>IF(main[[#This Row],[ממשלה]]="34+",1,"")</f>
        <v/>
      </c>
      <c r="R3" s="1"/>
    </row>
    <row r="4" spans="1:22" ht="15.75" hidden="1" customHeight="1" x14ac:dyDescent="0.15">
      <c r="A4" s="1">
        <v>13.2</v>
      </c>
      <c r="B4" s="1" t="s">
        <v>43</v>
      </c>
      <c r="C4" s="1">
        <v>32</v>
      </c>
      <c r="D4" s="1" t="s">
        <v>45</v>
      </c>
      <c r="E4" s="1" t="s">
        <v>44</v>
      </c>
      <c r="F4" s="1" t="s">
        <v>16</v>
      </c>
      <c r="G4" s="1">
        <v>2009</v>
      </c>
      <c r="H4" s="1">
        <v>2013</v>
      </c>
      <c r="I4" s="2">
        <f>main[[#This Row],[שנת סיום]]-main[[#This Row],[שנת התחלה]]</f>
        <v>4</v>
      </c>
      <c r="J4" s="2" t="str">
        <f>CONCATENATE(main[[#This Row],[שנת התחלה]], "-", main[[#This Row],[שנת סיום]])</f>
        <v>2009-2013</v>
      </c>
      <c r="K4" s="1" t="e" cm="1">
        <f t="array" ref="K4">vloo</f>
        <v>#NAME?</v>
      </c>
      <c r="L4" s="1" t="str">
        <f>VLOOKUP(B4,תארים[],8,TRUE)</f>
        <v>אוניברסיטת ירושלים</v>
      </c>
      <c r="M4" s="1">
        <f>VLOOKUP(B4,תארים[],9,TRUE)</f>
        <v>0</v>
      </c>
      <c r="N4" s="1">
        <f>VLOOKUP(B4,תארים[],4,TRUE)</f>
        <v>1</v>
      </c>
      <c r="O4" s="1" t="str">
        <f>VLOOKUP(B4,תארים[],5,TRUE)</f>
        <v>ממשל</v>
      </c>
      <c r="P4" s="1" t="str">
        <f>VLOOKUP(B4,תארים[],5,TRUE)</f>
        <v>ממשל</v>
      </c>
      <c r="Q4" s="1" t="str">
        <f>IF(main[[#This Row],[ממשלה]]="34+",1,"")</f>
        <v/>
      </c>
      <c r="R4" s="1"/>
    </row>
    <row r="5" spans="1:22" ht="15.75" customHeight="1" x14ac:dyDescent="0.15">
      <c r="A5" s="1">
        <v>14.1</v>
      </c>
      <c r="B5" s="1" t="s">
        <v>43</v>
      </c>
      <c r="C5" s="1" t="s">
        <v>22</v>
      </c>
      <c r="D5" s="1" t="s">
        <v>28</v>
      </c>
      <c r="E5" s="1" t="s">
        <v>44</v>
      </c>
      <c r="F5" s="1" t="s">
        <v>30</v>
      </c>
      <c r="G5" s="1">
        <v>2016</v>
      </c>
      <c r="H5" s="1">
        <v>2018</v>
      </c>
      <c r="I5" s="2">
        <f>main[[#This Row],[שנת סיום]]-main[[#This Row],[שנת התחלה]]</f>
        <v>2</v>
      </c>
      <c r="J5" s="2" t="str">
        <f>CONCATENATE(main[[#This Row],[שנת התחלה]], "-", main[[#This Row],[שנת סיום]])</f>
        <v>2016-2018</v>
      </c>
      <c r="K5" s="1" t="str">
        <f>VLOOKUP(B5,תארים[],2,TRUE)</f>
        <v>תואר ראשון</v>
      </c>
      <c r="L5" s="1" t="str">
        <f>VLOOKUP(B5,תארים[],8,TRUE)</f>
        <v>אוניברסיטת ירושלים</v>
      </c>
      <c r="M5" s="1">
        <f>VLOOKUP(B5,תארים[],9,TRUE)</f>
        <v>0</v>
      </c>
      <c r="N5" s="1">
        <f>VLOOKUP(B5,תארים[],4,TRUE)</f>
        <v>1</v>
      </c>
      <c r="O5" s="1" t="str">
        <f>VLOOKUP(B5,תארים[],5,TRUE)</f>
        <v>ממשל</v>
      </c>
      <c r="P5" s="1">
        <f>VLOOKUP(B5,תארים[],6,TRUE)</f>
        <v>0</v>
      </c>
      <c r="Q5" s="1">
        <f>IF(main[[#This Row],[ממשלה]]="34+",1,"")</f>
        <v>1</v>
      </c>
      <c r="R5" s="1" t="s">
        <v>241</v>
      </c>
    </row>
    <row r="6" spans="1:22" ht="15.75" customHeight="1" x14ac:dyDescent="0.15">
      <c r="A6" s="1">
        <v>15.1</v>
      </c>
      <c r="B6" s="1" t="s">
        <v>43</v>
      </c>
      <c r="C6" s="1" t="s">
        <v>22</v>
      </c>
      <c r="D6" s="1" t="s">
        <v>33</v>
      </c>
      <c r="E6" s="1" t="s">
        <v>44</v>
      </c>
      <c r="F6" s="1" t="s">
        <v>35</v>
      </c>
      <c r="G6" s="1">
        <v>2021</v>
      </c>
      <c r="H6" s="1">
        <v>2022</v>
      </c>
      <c r="I6" s="2">
        <f>main[[#This Row],[שנת סיום]]-main[[#This Row],[שנת התחלה]]</f>
        <v>1</v>
      </c>
      <c r="J6" s="2" t="str">
        <f>CONCATENATE(main[[#This Row],[שנת התחלה]], "-", main[[#This Row],[שנת סיום]])</f>
        <v>2021-2022</v>
      </c>
      <c r="K6" s="1" t="str">
        <f>VLOOKUP(B6,תארים[],2,TRUE)</f>
        <v>תואר ראשון</v>
      </c>
      <c r="L6" s="1" t="str">
        <f>VLOOKUP(B6,תארים[],8,TRUE)</f>
        <v>אוניברסיטת ירושלים</v>
      </c>
      <c r="M6" s="1">
        <f>VLOOKUP(B6,תארים[],9,TRUE)</f>
        <v>0</v>
      </c>
      <c r="N6" s="1">
        <f>VLOOKUP(B6,תארים[],4,TRUE)</f>
        <v>1</v>
      </c>
      <c r="O6" s="1" t="str">
        <f>VLOOKUP(B6,תארים[],5,TRUE)</f>
        <v>ממשל</v>
      </c>
      <c r="P6" s="1">
        <f>VLOOKUP(B6,תארים[],6,TRUE)</f>
        <v>0</v>
      </c>
      <c r="Q6" s="1">
        <f>IF(main[[#This Row],[ממשלה]]="34+",1,"")</f>
        <v>1</v>
      </c>
      <c r="R6" s="1" t="s">
        <v>241</v>
      </c>
    </row>
    <row r="7" spans="1:22" ht="15.75" hidden="1" customHeight="1" x14ac:dyDescent="0.15">
      <c r="A7" s="1">
        <v>67.099999999999994</v>
      </c>
      <c r="B7" s="1" t="s">
        <v>126</v>
      </c>
      <c r="C7" s="1">
        <v>32</v>
      </c>
      <c r="D7" s="1" t="s">
        <v>127</v>
      </c>
      <c r="E7" s="1" t="s">
        <v>117</v>
      </c>
      <c r="F7" s="1" t="s">
        <v>12</v>
      </c>
      <c r="G7" s="1">
        <v>2009</v>
      </c>
      <c r="H7" s="1">
        <v>2013</v>
      </c>
      <c r="I7" s="2">
        <f>main[[#This Row],[שנת סיום]]-main[[#This Row],[שנת התחלה]]</f>
        <v>4</v>
      </c>
      <c r="J7" s="2" t="str">
        <f>CONCATENATE(main[[#This Row],[שנת התחלה]], "-", main[[#This Row],[שנת סיום]])</f>
        <v>2009-2013</v>
      </c>
      <c r="K7" s="1" t="e" cm="1">
        <f t="array" ref="K7">vloo</f>
        <v>#NAME?</v>
      </c>
      <c r="L7" s="1" t="str">
        <f>VLOOKUP(B7,תארים[],8,TRUE)</f>
        <v>אוניברסיטת ירושלים</v>
      </c>
      <c r="M7" s="1">
        <f>VLOOKUP(B7,תארים[],9,TRUE)</f>
        <v>0</v>
      </c>
      <c r="N7" s="1">
        <f>VLOOKUP(B7,תארים[],4,TRUE)</f>
        <v>1</v>
      </c>
      <c r="O7" s="1" t="str">
        <f>VLOOKUP(B7,תארים[],5,TRUE)</f>
        <v>ממשל</v>
      </c>
      <c r="P7" s="1" t="str">
        <f>VLOOKUP(B7,תארים[],5,TRUE)</f>
        <v>ממשל</v>
      </c>
      <c r="Q7" s="1" t="str">
        <f>IF(main[[#This Row],[ממשלה]]="34+",1,"")</f>
        <v/>
      </c>
      <c r="R7" s="1"/>
    </row>
    <row r="8" spans="1:22" ht="15.75" hidden="1" customHeight="1" x14ac:dyDescent="0.15">
      <c r="A8" s="1">
        <v>61.1</v>
      </c>
      <c r="B8" s="1" t="s">
        <v>116</v>
      </c>
      <c r="C8" s="1">
        <v>32</v>
      </c>
      <c r="D8" s="1" t="s">
        <v>28</v>
      </c>
      <c r="E8" s="1" t="s">
        <v>117</v>
      </c>
      <c r="F8" s="1" t="s">
        <v>30</v>
      </c>
      <c r="G8" s="1">
        <v>2009</v>
      </c>
      <c r="H8" s="1">
        <v>2013</v>
      </c>
      <c r="I8" s="2">
        <f>main[[#This Row],[שנת סיום]]-main[[#This Row],[שנת התחלה]]</f>
        <v>4</v>
      </c>
      <c r="J8" s="2" t="str">
        <f>CONCATENATE(main[[#This Row],[שנת התחלה]], "-", main[[#This Row],[שנת סיום]])</f>
        <v>2009-2013</v>
      </c>
      <c r="K8" s="1" t="e" cm="1">
        <f t="array" ref="K8">vloo</f>
        <v>#NAME?</v>
      </c>
      <c r="L8" s="1" t="str">
        <f>VLOOKUP(B8,תארים[],8,TRUE)</f>
        <v>אוניברסיטת ירושלים</v>
      </c>
      <c r="M8" s="1">
        <f>VLOOKUP(B8,תארים[],9,TRUE)</f>
        <v>0</v>
      </c>
      <c r="N8" s="1">
        <f>VLOOKUP(B8,תארים[],4,TRUE)</f>
        <v>1</v>
      </c>
      <c r="O8" s="1" t="str">
        <f>VLOOKUP(B8,תארים[],5,TRUE)</f>
        <v>ממשל</v>
      </c>
      <c r="P8" s="1" t="str">
        <f>VLOOKUP(B8,תארים[],5,TRUE)</f>
        <v>ממשל</v>
      </c>
      <c r="Q8" s="1" t="str">
        <f>IF(main[[#This Row],[ממשלה]]="34+",1,"")</f>
        <v/>
      </c>
      <c r="R8" s="1"/>
    </row>
    <row r="9" spans="1:22" ht="15.75" hidden="1" customHeight="1" x14ac:dyDescent="0.15">
      <c r="A9" s="1">
        <v>61.2</v>
      </c>
      <c r="B9" s="1" t="s">
        <v>116</v>
      </c>
      <c r="C9" s="1">
        <v>32</v>
      </c>
      <c r="D9" s="1" t="s">
        <v>45</v>
      </c>
      <c r="E9" s="1" t="s">
        <v>117</v>
      </c>
      <c r="F9" s="1" t="s">
        <v>16</v>
      </c>
      <c r="G9" s="1">
        <v>2009</v>
      </c>
      <c r="H9" s="1">
        <v>2013</v>
      </c>
      <c r="I9" s="2">
        <f>main[[#This Row],[שנת סיום]]-main[[#This Row],[שנת התחלה]]</f>
        <v>4</v>
      </c>
      <c r="J9" s="2" t="str">
        <f>CONCATENATE(main[[#This Row],[שנת התחלה]], "-", main[[#This Row],[שנת סיום]])</f>
        <v>2009-2013</v>
      </c>
      <c r="K9" s="1" t="e" cm="1">
        <f t="array" ref="K9">vloo</f>
        <v>#NAME?</v>
      </c>
      <c r="L9" s="1" t="str">
        <f>VLOOKUP(B9,תארים[],8,TRUE)</f>
        <v>אוניברסיטת ירושלים</v>
      </c>
      <c r="M9" s="1">
        <f>VLOOKUP(B9,תארים[],9,TRUE)</f>
        <v>0</v>
      </c>
      <c r="N9" s="1">
        <f>VLOOKUP(B9,תארים[],4,TRUE)</f>
        <v>1</v>
      </c>
      <c r="O9" s="1" t="str">
        <f>VLOOKUP(B9,תארים[],5,TRUE)</f>
        <v>ממשל</v>
      </c>
      <c r="P9" s="1" t="str">
        <f>VLOOKUP(B9,תארים[],5,TRUE)</f>
        <v>ממשל</v>
      </c>
      <c r="Q9" s="1" t="str">
        <f>IF(main[[#This Row],[ממשלה]]="34+",1,"")</f>
        <v/>
      </c>
      <c r="R9" s="1"/>
    </row>
    <row r="10" spans="1:22" ht="15.75" hidden="1" customHeight="1" x14ac:dyDescent="0.15">
      <c r="A10" s="1">
        <v>85.1</v>
      </c>
      <c r="B10" s="1" t="s">
        <v>151</v>
      </c>
      <c r="C10" s="1">
        <v>34</v>
      </c>
      <c r="D10" s="1" t="s">
        <v>152</v>
      </c>
      <c r="E10" s="1" t="s">
        <v>38</v>
      </c>
      <c r="F10" s="1" t="s">
        <v>35</v>
      </c>
      <c r="G10" s="1">
        <v>2015</v>
      </c>
      <c r="H10" s="1">
        <v>2019</v>
      </c>
      <c r="I10" s="2">
        <f>main[[#This Row],[שנת סיום]]-main[[#This Row],[שנת התחלה]]</f>
        <v>4</v>
      </c>
      <c r="J10" s="2" t="str">
        <f>CONCATENATE(main[[#This Row],[שנת התחלה]], "-", main[[#This Row],[שנת סיום]])</f>
        <v>2015-2019</v>
      </c>
      <c r="K10" s="1" t="e" cm="1">
        <f t="array" ref="K10">vloo</f>
        <v>#NAME?</v>
      </c>
      <c r="L10" s="1" t="str">
        <f>VLOOKUP(B10,תארים[],8,TRUE)</f>
        <v>אוניברסיטת ירושלים</v>
      </c>
      <c r="M10" s="1">
        <f>VLOOKUP(B10,תארים[],9,TRUE)</f>
        <v>0</v>
      </c>
      <c r="N10" s="1">
        <f>VLOOKUP(B10,תארים[],4,TRUE)</f>
        <v>1</v>
      </c>
      <c r="O10" s="1" t="str">
        <f>VLOOKUP(B10,תארים[],5,TRUE)</f>
        <v>ממשל</v>
      </c>
      <c r="P10" s="1" t="str">
        <f>VLOOKUP(B10,תארים[],5,TRUE)</f>
        <v>ממשל</v>
      </c>
      <c r="Q10" s="1" t="str">
        <f>IF(main[[#This Row],[ממשלה]]="34+",1,"")</f>
        <v/>
      </c>
      <c r="R10" s="1"/>
    </row>
    <row r="11" spans="1:22" ht="15.75" hidden="1" customHeight="1" x14ac:dyDescent="0.15">
      <c r="A11" s="1">
        <v>84.1</v>
      </c>
      <c r="B11" s="1" t="s">
        <v>150</v>
      </c>
      <c r="C11" s="1">
        <v>33</v>
      </c>
      <c r="D11" s="1" t="s">
        <v>120</v>
      </c>
      <c r="E11" s="1" t="s">
        <v>38</v>
      </c>
      <c r="F11" s="1" t="s">
        <v>25</v>
      </c>
      <c r="G11" s="1">
        <v>2013</v>
      </c>
      <c r="H11" s="1">
        <v>2015</v>
      </c>
      <c r="I11" s="2">
        <f>main[[#This Row],[שנת סיום]]-main[[#This Row],[שנת התחלה]]</f>
        <v>2</v>
      </c>
      <c r="J11" s="2" t="str">
        <f>CONCATENATE(main[[#This Row],[שנת התחלה]], "-", main[[#This Row],[שנת סיום]])</f>
        <v>2013-2015</v>
      </c>
      <c r="K11" s="1" t="e" cm="1">
        <f t="array" ref="K11">vloo</f>
        <v>#NAME?</v>
      </c>
      <c r="L11" s="1" t="str">
        <f>VLOOKUP(B11,תארים[],8,TRUE)</f>
        <v>אוניברסיטת ירושלים</v>
      </c>
      <c r="M11" s="1">
        <f>VLOOKUP(B11,תארים[],9,TRUE)</f>
        <v>0</v>
      </c>
      <c r="N11" s="1">
        <f>VLOOKUP(B11,תארים[],4,TRUE)</f>
        <v>1</v>
      </c>
      <c r="O11" s="1" t="str">
        <f>VLOOKUP(B11,תארים[],5,TRUE)</f>
        <v>ממשל</v>
      </c>
      <c r="P11" s="1" t="str">
        <f>VLOOKUP(B11,תארים[],5,TRUE)</f>
        <v>ממשל</v>
      </c>
      <c r="Q11" s="1" t="str">
        <f>IF(main[[#This Row],[ממשלה]]="34+",1,"")</f>
        <v/>
      </c>
      <c r="R11" s="1"/>
    </row>
    <row r="12" spans="1:22" ht="15.75" hidden="1" customHeight="1" x14ac:dyDescent="0.15">
      <c r="A12" s="1">
        <v>80.099999999999994</v>
      </c>
      <c r="B12" s="1" t="s">
        <v>144</v>
      </c>
      <c r="C12" s="1">
        <v>32</v>
      </c>
      <c r="D12" s="1" t="s">
        <v>145</v>
      </c>
      <c r="E12" s="1" t="s">
        <v>117</v>
      </c>
      <c r="F12" s="1" t="s">
        <v>35</v>
      </c>
      <c r="G12" s="1">
        <v>2009</v>
      </c>
      <c r="H12" s="1">
        <v>2013</v>
      </c>
      <c r="I12" s="2">
        <f>main[[#This Row],[שנת סיום]]-main[[#This Row],[שנת התחלה]]</f>
        <v>4</v>
      </c>
      <c r="J12" s="2" t="str">
        <f>CONCATENATE(main[[#This Row],[שנת התחלה]], "-", main[[#This Row],[שנת סיום]])</f>
        <v>2009-2013</v>
      </c>
      <c r="K12" s="1" t="e" cm="1">
        <f t="array" ref="K12">vloo</f>
        <v>#NAME?</v>
      </c>
      <c r="L12" s="1" t="str">
        <f>VLOOKUP(B12,תארים[],8,TRUE)</f>
        <v>אוניברסיטת ירושלים</v>
      </c>
      <c r="M12" s="1">
        <f>VLOOKUP(B12,תארים[],9,TRUE)</f>
        <v>0</v>
      </c>
      <c r="N12" s="1">
        <f>VLOOKUP(B12,תארים[],4,TRUE)</f>
        <v>1</v>
      </c>
      <c r="O12" s="1" t="str">
        <f>VLOOKUP(B12,תארים[],5,TRUE)</f>
        <v>ממשל</v>
      </c>
      <c r="P12" s="1" t="str">
        <f>VLOOKUP(B12,תארים[],5,TRUE)</f>
        <v>ממשל</v>
      </c>
      <c r="Q12" s="1" t="str">
        <f>IF(main[[#This Row],[ממשלה]]="34+",1,"")</f>
        <v/>
      </c>
      <c r="R12" s="1"/>
    </row>
    <row r="13" spans="1:22" ht="15.75" customHeight="1" x14ac:dyDescent="0.15">
      <c r="A13" s="1">
        <v>34.1</v>
      </c>
      <c r="B13" s="1" t="s">
        <v>71</v>
      </c>
      <c r="C13" s="1" t="s">
        <v>22</v>
      </c>
      <c r="D13" s="1" t="s">
        <v>72</v>
      </c>
      <c r="E13" s="1" t="s">
        <v>42</v>
      </c>
      <c r="F13" s="1" t="s">
        <v>66</v>
      </c>
      <c r="G13" s="1">
        <v>2015</v>
      </c>
      <c r="H13" s="1">
        <v>2019</v>
      </c>
      <c r="I13" s="2">
        <f>main[[#This Row],[שנת סיום]]-main[[#This Row],[שנת התחלה]]</f>
        <v>4</v>
      </c>
      <c r="J13" s="2" t="str">
        <f>CONCATENATE(main[[#This Row],[שנת התחלה]], "-", main[[#This Row],[שנת סיום]])</f>
        <v>2015-2019</v>
      </c>
      <c r="K13" s="1" t="str">
        <f>VLOOKUP(B13,תארים[],2,TRUE)</f>
        <v>תואר ראשון, BSc, הוסמך</v>
      </c>
      <c r="L13" s="1" t="str">
        <f>VLOOKUP(B13,תארים[],8,TRUE)</f>
        <v>אוניברסיטת תל אביב</v>
      </c>
      <c r="M13" s="1">
        <f>VLOOKUP(B13,תארים[],9,TRUE)</f>
        <v>0</v>
      </c>
      <c r="N13" s="1">
        <f>VLOOKUP(B13,תארים[],4,TRUE)</f>
        <v>1</v>
      </c>
      <c r="O13" s="1" t="str">
        <f>VLOOKUP(B13,תארים[],5,TRUE)</f>
        <v>מדעי המחשב</v>
      </c>
      <c r="P13" s="1" t="str">
        <f>VLOOKUP(B13,תארים[],6,TRUE)</f>
        <v>הנדסת חשמל</v>
      </c>
      <c r="Q13" s="1">
        <f>IF(main[[#This Row],[ממשלה]]="34+",1,"")</f>
        <v>1</v>
      </c>
      <c r="R13" s="1" t="s">
        <v>242</v>
      </c>
    </row>
    <row r="14" spans="1:22" ht="15.75" customHeight="1" x14ac:dyDescent="0.15">
      <c r="A14" s="1">
        <v>35.1</v>
      </c>
      <c r="B14" s="1" t="s">
        <v>71</v>
      </c>
      <c r="C14" s="1" t="s">
        <v>22</v>
      </c>
      <c r="D14" s="1" t="s">
        <v>73</v>
      </c>
      <c r="E14" s="1" t="s">
        <v>42</v>
      </c>
      <c r="F14" s="1" t="s">
        <v>12</v>
      </c>
      <c r="G14" s="1">
        <v>2021</v>
      </c>
      <c r="H14" s="1">
        <v>2022</v>
      </c>
      <c r="I14" s="2">
        <f>main[[#This Row],[שנת סיום]]-main[[#This Row],[שנת התחלה]]</f>
        <v>1</v>
      </c>
      <c r="J14" s="2" t="str">
        <f>CONCATENATE(main[[#This Row],[שנת התחלה]], "-", main[[#This Row],[שנת סיום]])</f>
        <v>2021-2022</v>
      </c>
      <c r="K14" s="1" t="str">
        <f>VLOOKUP(B14,תארים[],2,TRUE)</f>
        <v>תואר ראשון, BSc, הוסמך</v>
      </c>
      <c r="L14" s="1" t="str">
        <f>VLOOKUP(B14,תארים[],8,TRUE)</f>
        <v>אוניברסיטת תל אביב</v>
      </c>
      <c r="M14" s="1">
        <f>VLOOKUP(B14,תארים[],9,TRUE)</f>
        <v>0</v>
      </c>
      <c r="N14" s="1">
        <f>VLOOKUP(B14,תארים[],4,TRUE)</f>
        <v>1</v>
      </c>
      <c r="O14" s="1" t="str">
        <f>VLOOKUP(B14,תארים[],5,TRUE)</f>
        <v>מדעי המחשב</v>
      </c>
      <c r="P14" s="1" t="str">
        <f>VLOOKUP(B14,תארים[],6,TRUE)</f>
        <v>הנדסת חשמל</v>
      </c>
      <c r="Q14" s="1">
        <f>IF(main[[#This Row],[ממשלה]]="34+",1,"")</f>
        <v>1</v>
      </c>
      <c r="R14" s="1" t="s">
        <v>242</v>
      </c>
    </row>
    <row r="15" spans="1:22" ht="15.75" customHeight="1" x14ac:dyDescent="0.15">
      <c r="A15" s="1">
        <v>25.1</v>
      </c>
      <c r="B15" s="1" t="s">
        <v>57</v>
      </c>
      <c r="C15" s="1" t="s">
        <v>22</v>
      </c>
      <c r="D15" s="1" t="s">
        <v>58</v>
      </c>
      <c r="E15" s="1" t="s">
        <v>59</v>
      </c>
      <c r="F15" s="1" t="s">
        <v>60</v>
      </c>
      <c r="G15" s="1">
        <v>2022</v>
      </c>
      <c r="H15" s="1">
        <v>2025</v>
      </c>
      <c r="I15" s="2">
        <f>main[[#This Row],[שנת סיום]]-main[[#This Row],[שנת התחלה]]</f>
        <v>3</v>
      </c>
      <c r="J15" s="2" t="str">
        <f>CONCATENATE(main[[#This Row],[שנת התחלה]], "-", main[[#This Row],[שנת סיום]])</f>
        <v>2022-2025</v>
      </c>
      <c r="K15" s="1" t="str">
        <f>VLOOKUP(B15,תארים[],2,TRUE)</f>
        <v>תואר ראשון, מוסמך</v>
      </c>
      <c r="L15" s="1" t="str">
        <f>VLOOKUP(B15,תארים[],8,TRUE)</f>
        <v>אקדמית אונו</v>
      </c>
      <c r="M15" s="1">
        <f>VLOOKUP(B15,תארים[],9,TRUE)</f>
        <v>0</v>
      </c>
      <c r="N15" s="1">
        <f>VLOOKUP(B15,תארים[],4,TRUE)</f>
        <v>1</v>
      </c>
      <c r="O15" s="1" t="str">
        <f>VLOOKUP(B15,תארים[],5,TRUE)</f>
        <v>משפטים</v>
      </c>
      <c r="P15" s="1">
        <f>VLOOKUP(B15,תארים[],6,TRUE)</f>
        <v>0</v>
      </c>
      <c r="Q15" s="1">
        <f>IF(main[[#This Row],[ממשלה]]="34+",1,"")</f>
        <v>1</v>
      </c>
      <c r="R15" s="1"/>
    </row>
    <row r="16" spans="1:22" ht="15.75" customHeight="1" x14ac:dyDescent="0.15">
      <c r="A16" s="1">
        <v>52.1</v>
      </c>
      <c r="B16" s="1" t="s">
        <v>99</v>
      </c>
      <c r="C16" s="1" t="s">
        <v>22</v>
      </c>
      <c r="D16" s="1" t="s">
        <v>94</v>
      </c>
      <c r="E16" s="1" t="s">
        <v>29</v>
      </c>
      <c r="F16" s="1" t="s">
        <v>30</v>
      </c>
      <c r="G16" s="1">
        <v>2021</v>
      </c>
      <c r="H16" s="1">
        <v>2022</v>
      </c>
      <c r="I16" s="2">
        <f>main[[#This Row],[שנת סיום]]-main[[#This Row],[שנת התחלה]]</f>
        <v>1</v>
      </c>
      <c r="J16" s="2" t="str">
        <f>CONCATENATE(main[[#This Row],[שנת התחלה]], "-", main[[#This Row],[שנת סיום]])</f>
        <v>2021-2022</v>
      </c>
      <c r="K16" s="1" t="str">
        <f>VLOOKUP(B16,תארים[],2,TRUE)</f>
        <v>תואר ראשון</v>
      </c>
      <c r="L16" s="1" t="str">
        <f>VLOOKUP(B16,תארים[],8,TRUE)</f>
        <v>אוניברסיטת בן-גוריון</v>
      </c>
      <c r="M16" s="1">
        <f>VLOOKUP(B16,תארים[],9,TRUE)</f>
        <v>0</v>
      </c>
      <c r="N16" s="1">
        <f>VLOOKUP(B16,תארים[],4,TRUE)</f>
        <v>1</v>
      </c>
      <c r="O16" s="1" t="str">
        <f>VLOOKUP(B16,תארים[],5,TRUE)</f>
        <v>מדעי המחשב</v>
      </c>
      <c r="P16" s="1" t="str">
        <f>VLOOKUP(B16,תארים[],6,TRUE)</f>
        <v>מתמטיקה</v>
      </c>
      <c r="Q16" s="1">
        <f>IF(main[[#This Row],[ממשלה]]="34+",1,"")</f>
        <v>1</v>
      </c>
      <c r="R16" s="1" t="s">
        <v>243</v>
      </c>
    </row>
    <row r="17" spans="1:18" ht="15.75" customHeight="1" x14ac:dyDescent="0.15">
      <c r="A17" s="1">
        <v>49.1</v>
      </c>
      <c r="B17" s="1" t="s">
        <v>93</v>
      </c>
      <c r="C17" s="1" t="s">
        <v>22</v>
      </c>
      <c r="D17" s="1" t="s">
        <v>94</v>
      </c>
      <c r="E17" s="1" t="s">
        <v>38</v>
      </c>
      <c r="F17" s="1" t="s">
        <v>30</v>
      </c>
      <c r="G17" s="1">
        <v>2015</v>
      </c>
      <c r="H17" s="1">
        <v>2019</v>
      </c>
      <c r="I17" s="2">
        <f>main[[#This Row],[שנת סיום]]-main[[#This Row],[שנת התחלה]]</f>
        <v>4</v>
      </c>
      <c r="J17" s="2" t="str">
        <f>CONCATENATE(main[[#This Row],[שנת התחלה]], "-", main[[#This Row],[שנת סיום]])</f>
        <v>2015-2019</v>
      </c>
      <c r="K17" s="1" t="str">
        <f>VLOOKUP(B17,תארים[],2,TRUE)</f>
        <v>תואר ראשון, תואר שני</v>
      </c>
      <c r="L17" s="1" t="str">
        <f>VLOOKUP(B17,תארים[],8,TRUE)</f>
        <v>אוניברסיטת פלורידה</v>
      </c>
      <c r="M17" s="1" t="str">
        <f>VLOOKUP(B17,תארים[],9,TRUE)</f>
        <v xml:space="preserve"> ירושלים</v>
      </c>
      <c r="N17" s="1">
        <f>VLOOKUP(B17,תארים[],4,TRUE)</f>
        <v>2</v>
      </c>
      <c r="O17" s="1" t="str">
        <f>VLOOKUP(B17,תארים[],5,TRUE)</f>
        <v>ממשל</v>
      </c>
      <c r="P17" s="1" t="str">
        <f>VLOOKUP(B17,תארים[],6,TRUE)</f>
        <v>מדיניות ציבורית</v>
      </c>
      <c r="Q17" s="1">
        <f>IF(main[[#This Row],[ממשלה]]="34+",1,"")</f>
        <v>1</v>
      </c>
      <c r="R17" s="1" t="s">
        <v>244</v>
      </c>
    </row>
    <row r="18" spans="1:18" ht="15.75" hidden="1" customHeight="1" x14ac:dyDescent="0.15">
      <c r="A18" s="1">
        <v>62.1</v>
      </c>
      <c r="B18" s="1" t="s">
        <v>118</v>
      </c>
      <c r="C18" s="1">
        <v>32</v>
      </c>
      <c r="D18" s="1" t="s">
        <v>54</v>
      </c>
      <c r="E18" s="1" t="s">
        <v>52</v>
      </c>
      <c r="F18" s="1" t="s">
        <v>12</v>
      </c>
      <c r="G18" s="1">
        <v>2009</v>
      </c>
      <c r="H18" s="1">
        <v>2013</v>
      </c>
      <c r="I18" s="2">
        <f>main[[#This Row],[שנת סיום]]-main[[#This Row],[שנת התחלה]]</f>
        <v>4</v>
      </c>
      <c r="J18" s="2" t="str">
        <f>CONCATENATE(main[[#This Row],[שנת התחלה]], "-", main[[#This Row],[שנת סיום]])</f>
        <v>2009-2013</v>
      </c>
      <c r="K18" s="1" t="e" cm="1">
        <f t="array" ref="K18">vloo</f>
        <v>#NAME?</v>
      </c>
      <c r="L18" s="1" t="str">
        <f>VLOOKUP(B18,תארים[],8,TRUE)</f>
        <v>אוניברסיטת פלורידה</v>
      </c>
      <c r="M18" s="1" t="str">
        <f>VLOOKUP(B18,תארים[],9,TRUE)</f>
        <v xml:space="preserve"> ירושלים</v>
      </c>
      <c r="N18" s="1">
        <f>VLOOKUP(B18,תארים[],4,TRUE)</f>
        <v>2</v>
      </c>
      <c r="O18" s="1" t="str">
        <f>VLOOKUP(B18,תארים[],5,TRUE)</f>
        <v>ממשל</v>
      </c>
      <c r="P18" s="1" t="str">
        <f>VLOOKUP(B18,תארים[],5,TRUE)</f>
        <v>ממשל</v>
      </c>
      <c r="Q18" s="1" t="str">
        <f>IF(main[[#This Row],[ממשלה]]="34+",1,"")</f>
        <v/>
      </c>
      <c r="R18" s="1"/>
    </row>
    <row r="19" spans="1:18" ht="15.75" hidden="1" customHeight="1" x14ac:dyDescent="0.15">
      <c r="A19" s="1">
        <v>62.2</v>
      </c>
      <c r="B19" s="1" t="s">
        <v>118</v>
      </c>
      <c r="C19" s="1">
        <v>32</v>
      </c>
      <c r="D19" s="1" t="s">
        <v>45</v>
      </c>
      <c r="E19" s="1" t="s">
        <v>52</v>
      </c>
      <c r="F19" s="1" t="s">
        <v>16</v>
      </c>
      <c r="G19" s="1">
        <v>2009</v>
      </c>
      <c r="H19" s="1">
        <v>2013</v>
      </c>
      <c r="I19" s="2">
        <f>main[[#This Row],[שנת סיום]]-main[[#This Row],[שנת התחלה]]</f>
        <v>4</v>
      </c>
      <c r="J19" s="2" t="str">
        <f>CONCATENATE(main[[#This Row],[שנת התחלה]], "-", main[[#This Row],[שנת סיום]])</f>
        <v>2009-2013</v>
      </c>
      <c r="K19" s="1" t="e" cm="1">
        <f t="array" ref="K19">vloo</f>
        <v>#NAME?</v>
      </c>
      <c r="L19" s="1" t="str">
        <f>VLOOKUP(B19,תארים[],8,TRUE)</f>
        <v>אוניברסיטת פלורידה</v>
      </c>
      <c r="M19" s="1" t="str">
        <f>VLOOKUP(B19,תארים[],9,TRUE)</f>
        <v xml:space="preserve"> ירושלים</v>
      </c>
      <c r="N19" s="1">
        <f>VLOOKUP(B19,תארים[],4,TRUE)</f>
        <v>2</v>
      </c>
      <c r="O19" s="1" t="str">
        <f>VLOOKUP(B19,תארים[],5,TRUE)</f>
        <v>ממשל</v>
      </c>
      <c r="P19" s="1" t="str">
        <f>VLOOKUP(B19,תארים[],5,TRUE)</f>
        <v>ממשל</v>
      </c>
      <c r="Q19" s="1" t="str">
        <f>IF(main[[#This Row],[ממשלה]]="34+",1,"")</f>
        <v/>
      </c>
      <c r="R19" s="1"/>
    </row>
    <row r="20" spans="1:18" ht="15.75" customHeight="1" x14ac:dyDescent="0.15">
      <c r="A20" s="1">
        <v>47.1</v>
      </c>
      <c r="B20" s="1" t="s">
        <v>90</v>
      </c>
      <c r="C20" s="1" t="s">
        <v>22</v>
      </c>
      <c r="D20" s="1" t="s">
        <v>18</v>
      </c>
      <c r="E20" s="1" t="s">
        <v>23</v>
      </c>
      <c r="F20" s="1" t="s">
        <v>19</v>
      </c>
      <c r="G20" s="1">
        <v>2022</v>
      </c>
      <c r="H20" s="1">
        <v>2023</v>
      </c>
      <c r="I20" s="2">
        <f>main[[#This Row],[שנת סיום]]-main[[#This Row],[שנת התחלה]]</f>
        <v>1</v>
      </c>
      <c r="J20" s="2" t="str">
        <f>CONCATENATE(main[[#This Row],[שנת התחלה]], "-", main[[#This Row],[שנת סיום]])</f>
        <v>2022-2023</v>
      </c>
      <c r="K20" s="1" t="str">
        <f>VLOOKUP(B20,תארים[],2,TRUE)</f>
        <v>תואר ראשון, תואר שני</v>
      </c>
      <c r="L20" s="1" t="str">
        <f>VLOOKUP(B20,תארים[],8,TRUE)</f>
        <v>אוניברסיטת תל אביב</v>
      </c>
      <c r="M20" s="1" t="str">
        <f>VLOOKUP(B20,תארים[],9,TRUE)</f>
        <v xml:space="preserve"> האוניברסיטה הפתוחה</v>
      </c>
      <c r="N20" s="1">
        <f>VLOOKUP(B20,תארים[],4,TRUE)</f>
        <v>2</v>
      </c>
      <c r="O20" s="1" t="str">
        <f>VLOOKUP(B20,תארים[],5,TRUE)</f>
        <v>ניהול</v>
      </c>
      <c r="P20" s="1" t="str">
        <f>VLOOKUP(B20,תארים[],6,TRUE)</f>
        <v>מנהל עסקים</v>
      </c>
      <c r="Q20" s="1">
        <f>IF(main[[#This Row],[ממשלה]]="34+",1,"")</f>
        <v>1</v>
      </c>
      <c r="R20" s="1" t="s">
        <v>245</v>
      </c>
    </row>
    <row r="21" spans="1:18" ht="15.75" hidden="1" customHeight="1" x14ac:dyDescent="0.15">
      <c r="A21" s="1">
        <v>83.1</v>
      </c>
      <c r="B21" s="1" t="s">
        <v>176</v>
      </c>
      <c r="C21" s="1">
        <v>33</v>
      </c>
      <c r="D21" s="1" t="s">
        <v>85</v>
      </c>
      <c r="E21" s="1" t="s">
        <v>149</v>
      </c>
      <c r="F21" s="1" t="s">
        <v>25</v>
      </c>
      <c r="G21" s="1">
        <v>2013</v>
      </c>
      <c r="H21" s="1">
        <v>2015</v>
      </c>
      <c r="I21" s="2">
        <f>main[[#This Row],[שנת סיום]]-main[[#This Row],[שנת התחלה]]</f>
        <v>2</v>
      </c>
      <c r="J21" s="2" t="str">
        <f>CONCATENATE(main[[#This Row],[שנת התחלה]], "-", main[[#This Row],[שנת סיום]])</f>
        <v>2013-2015</v>
      </c>
      <c r="K21" s="1" t="e" cm="1">
        <f t="array" ref="K21">vloo</f>
        <v>#NAME?</v>
      </c>
      <c r="L21" s="1" t="str">
        <f>VLOOKUP(B21,תארים[],8,TRUE)</f>
        <v>אוניברסיטת תל אביב</v>
      </c>
      <c r="M21" s="1">
        <f>VLOOKUP(B21,תארים[],9,TRUE)</f>
        <v>0</v>
      </c>
      <c r="N21" s="1">
        <f>VLOOKUP(B21,תארים[],4,TRUE)</f>
        <v>1</v>
      </c>
      <c r="O21" s="1" t="str">
        <f>VLOOKUP(B21,תארים[],5,TRUE)</f>
        <v>משפטים</v>
      </c>
      <c r="P21" s="1" t="str">
        <f>VLOOKUP(B21,תארים[],5,TRUE)</f>
        <v>משפטים</v>
      </c>
      <c r="Q21" s="1" t="str">
        <f>IF(main[[#This Row],[ממשלה]]="34+",1,"")</f>
        <v/>
      </c>
      <c r="R21" s="1"/>
    </row>
    <row r="22" spans="1:18" ht="15.75" hidden="1" customHeight="1" x14ac:dyDescent="0.15">
      <c r="A22" s="1">
        <v>63.1</v>
      </c>
      <c r="B22" s="1" t="s">
        <v>119</v>
      </c>
      <c r="C22" s="1">
        <v>32</v>
      </c>
      <c r="D22" s="1" t="s">
        <v>120</v>
      </c>
      <c r="E22" s="1" t="s">
        <v>52</v>
      </c>
      <c r="F22" s="1" t="s">
        <v>25</v>
      </c>
      <c r="G22" s="1">
        <v>2009</v>
      </c>
      <c r="H22" s="1">
        <v>2013</v>
      </c>
      <c r="I22" s="2">
        <f>main[[#This Row],[שנת סיום]]-main[[#This Row],[שנת התחלה]]</f>
        <v>4</v>
      </c>
      <c r="J22" s="2" t="str">
        <f>CONCATENATE(main[[#This Row],[שנת התחלה]], "-", main[[#This Row],[שנת סיום]])</f>
        <v>2009-2013</v>
      </c>
      <c r="K22" s="1" t="e" cm="1">
        <f t="array" ref="K22">vloo</f>
        <v>#NAME?</v>
      </c>
      <c r="L22" s="1" t="str">
        <f>VLOOKUP(B22,תארים[],8,TRUE)</f>
        <v>אוניברסיטת תל אביב</v>
      </c>
      <c r="M22" s="1" t="str">
        <f>VLOOKUP(B22,תארים[],9,TRUE)</f>
        <v xml:space="preserve"> האוניברסיטה הפתוחה</v>
      </c>
      <c r="N22" s="1">
        <f>VLOOKUP(B22,תארים[],4,TRUE)</f>
        <v>2</v>
      </c>
      <c r="O22" s="1" t="str">
        <f>VLOOKUP(B22,תארים[],5,TRUE)</f>
        <v>ניהול</v>
      </c>
      <c r="P22" s="1" t="str">
        <f>VLOOKUP(B22,תארים[],5,TRUE)</f>
        <v>ניהול</v>
      </c>
      <c r="Q22" s="1" t="str">
        <f>IF(main[[#This Row],[ממשלה]]="34+",1,"")</f>
        <v/>
      </c>
      <c r="R22" s="1"/>
    </row>
    <row r="23" spans="1:18" ht="15.75" hidden="1" customHeight="1" x14ac:dyDescent="0.15">
      <c r="A23" s="1">
        <v>21.1</v>
      </c>
      <c r="B23" s="1" t="s">
        <v>50</v>
      </c>
      <c r="C23" s="1">
        <v>34</v>
      </c>
      <c r="D23" s="1" t="s">
        <v>51</v>
      </c>
      <c r="E23" s="1" t="s">
        <v>52</v>
      </c>
      <c r="F23" s="1" t="s">
        <v>35</v>
      </c>
      <c r="G23" s="1">
        <v>2015</v>
      </c>
      <c r="H23" s="1">
        <v>2016</v>
      </c>
      <c r="I23" s="2">
        <f>main[[#This Row],[שנת סיום]]-main[[#This Row],[שנת התחלה]]</f>
        <v>1</v>
      </c>
      <c r="J23" s="2" t="str">
        <f>CONCATENATE(main[[#This Row],[שנת התחלה]], "-", main[[#This Row],[שנת סיום]])</f>
        <v>2015-2016</v>
      </c>
      <c r="K23" s="1" t="e" cm="1">
        <f t="array" ref="K23">vloo</f>
        <v>#NAME?</v>
      </c>
      <c r="L23" s="1">
        <f>VLOOKUP(B23,תארים[],8,TRUE)</f>
        <v>0</v>
      </c>
      <c r="M23" s="1">
        <f>VLOOKUP(B23,תארים[],9,TRUE)</f>
        <v>0</v>
      </c>
      <c r="N23" s="1">
        <f>VLOOKUP(B23,תארים[],4,TRUE)</f>
        <v>0</v>
      </c>
      <c r="O23" s="1">
        <f>VLOOKUP(B23,תארים[],5,TRUE)</f>
        <v>0</v>
      </c>
      <c r="P23" s="1">
        <f>VLOOKUP(B23,תארים[],5,TRUE)</f>
        <v>0</v>
      </c>
      <c r="Q23" s="1" t="str">
        <f>IF(main[[#This Row],[ממשלה]]="34+",1,"")</f>
        <v/>
      </c>
      <c r="R23" s="1"/>
    </row>
    <row r="24" spans="1:18" ht="15.75" hidden="1" customHeight="1" x14ac:dyDescent="0.15">
      <c r="A24" s="1">
        <v>21.2</v>
      </c>
      <c r="B24" s="1" t="s">
        <v>50</v>
      </c>
      <c r="C24" s="1">
        <v>34</v>
      </c>
      <c r="D24" s="1" t="s">
        <v>53</v>
      </c>
      <c r="E24" s="1" t="s">
        <v>52</v>
      </c>
      <c r="F24" s="1" t="s">
        <v>25</v>
      </c>
      <c r="G24" s="1">
        <v>2015</v>
      </c>
      <c r="H24" s="1">
        <v>2016</v>
      </c>
      <c r="I24" s="2">
        <f>main[[#This Row],[שנת סיום]]-main[[#This Row],[שנת התחלה]]</f>
        <v>1</v>
      </c>
      <c r="J24" s="2" t="str">
        <f>CONCATENATE(main[[#This Row],[שנת התחלה]], "-", main[[#This Row],[שנת סיום]])</f>
        <v>2015-2016</v>
      </c>
      <c r="K24" s="1" t="e" cm="1">
        <f t="array" ref="K24">vloo</f>
        <v>#NAME?</v>
      </c>
      <c r="L24" s="1">
        <f>VLOOKUP(B24,תארים[],8,TRUE)</f>
        <v>0</v>
      </c>
      <c r="M24" s="1">
        <f>VLOOKUP(B24,תארים[],9,TRUE)</f>
        <v>0</v>
      </c>
      <c r="N24" s="1">
        <f>VLOOKUP(B24,תארים[],4,TRUE)</f>
        <v>0</v>
      </c>
      <c r="O24" s="1">
        <f>VLOOKUP(B24,תארים[],5,TRUE)</f>
        <v>0</v>
      </c>
      <c r="P24" s="1">
        <f>VLOOKUP(B24,תארים[],5,TRUE)</f>
        <v>0</v>
      </c>
      <c r="Q24" s="1" t="str">
        <f>IF(main[[#This Row],[ממשלה]]="34+",1,"")</f>
        <v/>
      </c>
      <c r="R24" s="1"/>
    </row>
    <row r="25" spans="1:18" ht="15.75" customHeight="1" x14ac:dyDescent="0.15">
      <c r="A25" s="1">
        <v>22.1</v>
      </c>
      <c r="B25" s="1" t="s">
        <v>50</v>
      </c>
      <c r="C25" s="1" t="s">
        <v>22</v>
      </c>
      <c r="D25" s="1" t="s">
        <v>54</v>
      </c>
      <c r="E25" s="1" t="s">
        <v>52</v>
      </c>
      <c r="F25" s="1" t="s">
        <v>12</v>
      </c>
      <c r="G25" s="1">
        <v>2016</v>
      </c>
      <c r="H25" s="1">
        <v>2021</v>
      </c>
      <c r="I25" s="2">
        <f>main[[#This Row],[שנת סיום]]-main[[#This Row],[שנת התחלה]]</f>
        <v>5</v>
      </c>
      <c r="J25" s="2" t="str">
        <f>CONCATENATE(main[[#This Row],[שנת התחלה]], "-", main[[#This Row],[שנת סיום]])</f>
        <v>2016-2021</v>
      </c>
      <c r="K25" s="1">
        <f>VLOOKUP(B25,תארים[],2,TRUE)</f>
        <v>0</v>
      </c>
      <c r="L25" s="1">
        <f>VLOOKUP(B25,תארים[],8,TRUE)</f>
        <v>0</v>
      </c>
      <c r="M25" s="1">
        <f>VLOOKUP(B25,תארים[],9,TRUE)</f>
        <v>0</v>
      </c>
      <c r="N25" s="1">
        <f>VLOOKUP(B25,תארים[],4,TRUE)</f>
        <v>0</v>
      </c>
      <c r="O25" s="1">
        <f>VLOOKUP(B25,תארים[],5,TRUE)</f>
        <v>0</v>
      </c>
      <c r="P25" s="1">
        <f>VLOOKUP(B25,תארים[],6,TRUE)</f>
        <v>0</v>
      </c>
      <c r="Q25" s="1">
        <f>IF(main[[#This Row],[ממשלה]]="34+",1,"")</f>
        <v>1</v>
      </c>
      <c r="R25" s="1" t="s">
        <v>246</v>
      </c>
    </row>
    <row r="26" spans="1:18" ht="15.75" customHeight="1" x14ac:dyDescent="0.15">
      <c r="A26" s="1">
        <v>5.0999999999999996</v>
      </c>
      <c r="B26" s="1" t="s">
        <v>27</v>
      </c>
      <c r="C26" s="1" t="s">
        <v>22</v>
      </c>
      <c r="D26" s="1" t="s">
        <v>28</v>
      </c>
      <c r="E26" s="1" t="s">
        <v>29</v>
      </c>
      <c r="F26" s="1" t="s">
        <v>30</v>
      </c>
      <c r="G26" s="1">
        <v>2020</v>
      </c>
      <c r="H26" s="1">
        <v>2022</v>
      </c>
      <c r="I26" s="2">
        <f>main[[#This Row],[שנת סיום]]-main[[#This Row],[שנת התחלה]]</f>
        <v>2</v>
      </c>
      <c r="J26" s="2" t="str">
        <f>CONCATENATE(main[[#This Row],[שנת התחלה]], "-", main[[#This Row],[שנת סיום]])</f>
        <v>2020-2022</v>
      </c>
      <c r="K26" s="1" t="str">
        <f>VLOOKUP(B26,תארים[],2,TRUE)</f>
        <v>תואר ראשון, תואר שני</v>
      </c>
      <c r="L26" s="1" t="str">
        <f>VLOOKUP(B26,תארים[],8,TRUE)</f>
        <v>אוניברסיטת תל אביב</v>
      </c>
      <c r="M26" s="1" t="str">
        <f>VLOOKUP(B26,תארים[],9,TRUE)</f>
        <v xml:space="preserve"> אוניברסיטת חיפה</v>
      </c>
      <c r="N26" s="1">
        <f>VLOOKUP(B26,תארים[],4,TRUE)</f>
        <v>2</v>
      </c>
      <c r="O26" s="1" t="str">
        <f>VLOOKUP(B26,תארים[],5,TRUE)</f>
        <v>מדעי המדינה</v>
      </c>
      <c r="P26" s="1" t="str">
        <f>VLOOKUP(B26,תארים[],6,TRUE)</f>
        <v>ניהול משאבים בינלאומיים</v>
      </c>
      <c r="Q26" s="1">
        <f>IF(main[[#This Row],[ממשלה]]="34+",1,"")</f>
        <v>1</v>
      </c>
      <c r="R26" s="1" t="s">
        <v>247</v>
      </c>
    </row>
    <row r="27" spans="1:18" ht="15.75" customHeight="1" x14ac:dyDescent="0.15">
      <c r="A27" s="1">
        <v>5.2</v>
      </c>
      <c r="B27" s="1" t="s">
        <v>27</v>
      </c>
      <c r="C27" s="1" t="s">
        <v>22</v>
      </c>
      <c r="D27" s="1" t="s">
        <v>31</v>
      </c>
      <c r="E27" s="1" t="s">
        <v>29</v>
      </c>
      <c r="F27" s="1" t="s">
        <v>10</v>
      </c>
      <c r="G27" s="1">
        <v>2020</v>
      </c>
      <c r="H27" s="1">
        <v>2021</v>
      </c>
      <c r="I27" s="2">
        <f>main[[#This Row],[שנת סיום]]-main[[#This Row],[שנת התחלה]]</f>
        <v>1</v>
      </c>
      <c r="J27" s="2" t="str">
        <f>CONCATENATE(main[[#This Row],[שנת התחלה]], "-", main[[#This Row],[שנת סיום]])</f>
        <v>2020-2021</v>
      </c>
      <c r="K27" s="1" t="str">
        <f>VLOOKUP(B27,תארים[],2,TRUE)</f>
        <v>תואר ראשון, תואר שני</v>
      </c>
      <c r="L27" s="1" t="str">
        <f>VLOOKUP(B27,תארים[],8,TRUE)</f>
        <v>אוניברסיטת תל אביב</v>
      </c>
      <c r="M27" s="1" t="str">
        <f>VLOOKUP(B27,תארים[],9,TRUE)</f>
        <v xml:space="preserve"> אוניברסיטת חיפה</v>
      </c>
      <c r="N27" s="1">
        <f>VLOOKUP(B27,תארים[],4,TRUE)</f>
        <v>2</v>
      </c>
      <c r="O27" s="1" t="str">
        <f>VLOOKUP(B27,תארים[],5,TRUE)</f>
        <v>מדעי המדינה</v>
      </c>
      <c r="P27" s="1" t="str">
        <f>VLOOKUP(B27,תארים[],6,TRUE)</f>
        <v>ניהול משאבים בינלאומיים</v>
      </c>
      <c r="Q27" s="1">
        <f>IF(main[[#This Row],[ממשלה]]="34+",1,"")</f>
        <v>1</v>
      </c>
      <c r="R27" s="1" t="s">
        <v>247</v>
      </c>
    </row>
    <row r="28" spans="1:18" ht="15.75" hidden="1" customHeight="1" x14ac:dyDescent="0.15">
      <c r="A28" s="1">
        <v>66.099999999999994</v>
      </c>
      <c r="B28" s="1" t="s">
        <v>125</v>
      </c>
      <c r="C28" s="1">
        <v>34</v>
      </c>
      <c r="D28" s="1" t="s">
        <v>124</v>
      </c>
      <c r="E28" s="1" t="s">
        <v>9</v>
      </c>
      <c r="F28" s="1" t="s">
        <v>12</v>
      </c>
      <c r="G28" s="1">
        <v>2015</v>
      </c>
      <c r="H28" s="1">
        <v>2015</v>
      </c>
      <c r="I28" s="2">
        <f>main[[#This Row],[שנת סיום]]-main[[#This Row],[שנת התחלה]]</f>
        <v>0</v>
      </c>
      <c r="J28" s="2" t="str">
        <f>CONCATENATE(main[[#This Row],[שנת התחלה]], "-", main[[#This Row],[שנת סיום]])</f>
        <v>2015-2015</v>
      </c>
      <c r="K28" s="1" t="e" cm="1">
        <f t="array" ref="K28">vloo</f>
        <v>#NAME?</v>
      </c>
      <c r="L28" s="1" t="str">
        <f>VLOOKUP(B28,תארים[],8,TRUE)</f>
        <v>אוניברסיטת תל אביב</v>
      </c>
      <c r="M28" s="1" t="str">
        <f>VLOOKUP(B28,תארים[],9,TRUE)</f>
        <v xml:space="preserve"> אוניברסיטת חיפה</v>
      </c>
      <c r="N28" s="1">
        <f>VLOOKUP(B28,תארים[],4,TRUE)</f>
        <v>2</v>
      </c>
      <c r="O28" s="1" t="str">
        <f>VLOOKUP(B28,תארים[],5,TRUE)</f>
        <v>מדעי המדינה</v>
      </c>
      <c r="P28" s="1" t="str">
        <f>VLOOKUP(B28,תארים[],5,TRUE)</f>
        <v>מדעי המדינה</v>
      </c>
      <c r="Q28" s="1" t="str">
        <f>IF(main[[#This Row],[ממשלה]]="34+",1,"")</f>
        <v/>
      </c>
      <c r="R28" s="1"/>
    </row>
    <row r="29" spans="1:18" ht="15.75" hidden="1" customHeight="1" x14ac:dyDescent="0.15">
      <c r="A29" s="1">
        <v>1.1000000000000001</v>
      </c>
      <c r="B29" s="3" t="s">
        <v>7</v>
      </c>
      <c r="C29" s="1">
        <v>32</v>
      </c>
      <c r="D29" s="1" t="s">
        <v>8</v>
      </c>
      <c r="E29" s="1" t="s">
        <v>9</v>
      </c>
      <c r="F29" s="1" t="s">
        <v>10</v>
      </c>
      <c r="G29" s="1">
        <v>2009</v>
      </c>
      <c r="H29" s="1">
        <v>2013</v>
      </c>
      <c r="I29" s="2">
        <f>main[[#This Row],[שנת סיום]]-main[[#This Row],[שנת התחלה]]</f>
        <v>4</v>
      </c>
      <c r="J29" s="2" t="str">
        <f>CONCATENATE(main[[#This Row],[שנת התחלה]], "-", main[[#This Row],[שנת סיום]])</f>
        <v>2009-2013</v>
      </c>
      <c r="K29" s="1" t="e" cm="1">
        <f t="array" ref="K29">vloo</f>
        <v>#NAME?</v>
      </c>
      <c r="L29" s="1" t="str">
        <f>VLOOKUP(B29,תארים[],8,TRUE)</f>
        <v>אוניברסיטת MIT</v>
      </c>
      <c r="M29" s="1" t="str">
        <f>VLOOKUP(B29,תארים[],9,TRUE)</f>
        <v xml:space="preserve"> אוניברסיטת MIT בסלואן</v>
      </c>
      <c r="N29" s="1">
        <f>VLOOKUP(B29,תארים[],4,TRUE)</f>
        <v>2</v>
      </c>
      <c r="O29" s="1" t="str">
        <f>VLOOKUP(B29,תארים[],5,TRUE)</f>
        <v>אדריכלות</v>
      </c>
      <c r="P29" s="1" t="str">
        <f>VLOOKUP(B29,תארים[],5,TRUE)</f>
        <v>אדריכלות</v>
      </c>
      <c r="Q29" s="1" t="str">
        <f>IF(main[[#This Row],[ממשלה]]="34+",1,"")</f>
        <v/>
      </c>
      <c r="R29" s="1"/>
    </row>
    <row r="30" spans="1:18" ht="15.75" hidden="1" customHeight="1" x14ac:dyDescent="0.15">
      <c r="A30" s="1">
        <v>1.2</v>
      </c>
      <c r="B30" s="1" t="s">
        <v>7</v>
      </c>
      <c r="C30" s="1">
        <v>32</v>
      </c>
      <c r="D30" s="1" t="s">
        <v>11</v>
      </c>
      <c r="E30" s="1" t="s">
        <v>9</v>
      </c>
      <c r="F30" s="1" t="s">
        <v>12</v>
      </c>
      <c r="G30" s="1">
        <v>2009</v>
      </c>
      <c r="H30" s="1">
        <v>2013</v>
      </c>
      <c r="I30" s="2">
        <f>main[[#This Row],[שנת סיום]]-main[[#This Row],[שנת התחלה]]</f>
        <v>4</v>
      </c>
      <c r="J30" s="2" t="str">
        <f>CONCATENATE(main[[#This Row],[שנת התחלה]], "-", main[[#This Row],[שנת סיום]])</f>
        <v>2009-2013</v>
      </c>
      <c r="K30" s="1" t="e" cm="1">
        <f t="array" ref="K30">vloo</f>
        <v>#NAME?</v>
      </c>
      <c r="L30" s="1" t="str">
        <f>VLOOKUP(B30,תארים[],8,TRUE)</f>
        <v>אוניברסיטת MIT</v>
      </c>
      <c r="M30" s="1" t="str">
        <f>VLOOKUP(B30,תארים[],9,TRUE)</f>
        <v xml:space="preserve"> אוניברסיטת MIT בסלואן</v>
      </c>
      <c r="N30" s="1">
        <f>VLOOKUP(B30,תארים[],4,TRUE)</f>
        <v>2</v>
      </c>
      <c r="O30" s="1" t="str">
        <f>VLOOKUP(B30,תארים[],5,TRUE)</f>
        <v>אדריכלות</v>
      </c>
      <c r="P30" s="1" t="str">
        <f>VLOOKUP(B30,תארים[],5,TRUE)</f>
        <v>אדריכלות</v>
      </c>
      <c r="Q30" s="1" t="str">
        <f>IF(main[[#This Row],[ממשלה]]="34+",1,"")</f>
        <v/>
      </c>
      <c r="R30" s="1"/>
    </row>
    <row r="31" spans="1:18" ht="15.75" hidden="1" customHeight="1" x14ac:dyDescent="0.15">
      <c r="A31" s="1">
        <v>1.3</v>
      </c>
      <c r="B31" s="1" t="s">
        <v>7</v>
      </c>
      <c r="C31" s="1">
        <v>32</v>
      </c>
      <c r="D31" s="1" t="s">
        <v>13</v>
      </c>
      <c r="E31" s="1" t="s">
        <v>9</v>
      </c>
      <c r="F31" s="1" t="s">
        <v>14</v>
      </c>
      <c r="G31" s="1">
        <v>2009</v>
      </c>
      <c r="H31" s="1">
        <v>2013</v>
      </c>
      <c r="I31" s="2">
        <f>main[[#This Row],[שנת סיום]]-main[[#This Row],[שנת התחלה]]</f>
        <v>4</v>
      </c>
      <c r="J31" s="2" t="str">
        <f>CONCATENATE(main[[#This Row],[שנת התחלה]], "-", main[[#This Row],[שנת סיום]])</f>
        <v>2009-2013</v>
      </c>
      <c r="K31" s="1" t="e" cm="1">
        <f t="array" ref="K31">vloo</f>
        <v>#NAME?</v>
      </c>
      <c r="L31" s="1" t="str">
        <f>VLOOKUP(B31,תארים[],8,TRUE)</f>
        <v>אוניברסיטת MIT</v>
      </c>
      <c r="M31" s="1" t="str">
        <f>VLOOKUP(B31,תארים[],9,TRUE)</f>
        <v xml:space="preserve"> אוניברסיטת MIT בסלואן</v>
      </c>
      <c r="N31" s="1">
        <f>VLOOKUP(B31,תארים[],4,TRUE)</f>
        <v>2</v>
      </c>
      <c r="O31" s="1" t="str">
        <f>VLOOKUP(B31,תארים[],5,TRUE)</f>
        <v>אדריכלות</v>
      </c>
      <c r="P31" s="1" t="str">
        <f>VLOOKUP(B31,תארים[],5,TRUE)</f>
        <v>אדריכלות</v>
      </c>
      <c r="Q31" s="1" t="str">
        <f>IF(main[[#This Row],[ממשלה]]="34+",1,"")</f>
        <v/>
      </c>
      <c r="R31" s="1"/>
    </row>
    <row r="32" spans="1:18" ht="15.75" hidden="1" customHeight="1" x14ac:dyDescent="0.15">
      <c r="A32" s="1">
        <v>1.4</v>
      </c>
      <c r="B32" s="1" t="s">
        <v>7</v>
      </c>
      <c r="C32" s="1">
        <v>32</v>
      </c>
      <c r="D32" s="1" t="s">
        <v>15</v>
      </c>
      <c r="E32" s="1" t="s">
        <v>9</v>
      </c>
      <c r="F32" s="1" t="s">
        <v>16</v>
      </c>
      <c r="G32" s="1">
        <v>2009</v>
      </c>
      <c r="H32" s="1">
        <v>2013</v>
      </c>
      <c r="I32" s="2">
        <f>main[[#This Row],[שנת סיום]]-main[[#This Row],[שנת התחלה]]</f>
        <v>4</v>
      </c>
      <c r="J32" s="2" t="str">
        <f>CONCATENATE(main[[#This Row],[שנת התחלה]], "-", main[[#This Row],[שנת סיום]])</f>
        <v>2009-2013</v>
      </c>
      <c r="K32" s="1" t="e" cm="1">
        <f t="array" ref="K32">vloo</f>
        <v>#NAME?</v>
      </c>
      <c r="L32" s="1" t="str">
        <f>VLOOKUP(B32,תארים[],8,TRUE)</f>
        <v>אוניברסיטת MIT</v>
      </c>
      <c r="M32" s="1" t="str">
        <f>VLOOKUP(B32,תארים[],9,TRUE)</f>
        <v xml:space="preserve"> אוניברסיטת MIT בסלואן</v>
      </c>
      <c r="N32" s="1">
        <f>VLOOKUP(B32,תארים[],4,TRUE)</f>
        <v>2</v>
      </c>
      <c r="O32" s="1" t="str">
        <f>VLOOKUP(B32,תארים[],5,TRUE)</f>
        <v>אדריכלות</v>
      </c>
      <c r="P32" s="1" t="str">
        <f>VLOOKUP(B32,תארים[],5,TRUE)</f>
        <v>אדריכלות</v>
      </c>
      <c r="Q32" s="1" t="str">
        <f>IF(main[[#This Row],[ממשלה]]="34+",1,"")</f>
        <v/>
      </c>
      <c r="R32" s="1"/>
    </row>
    <row r="33" spans="1:18" ht="15.75" hidden="1" customHeight="1" x14ac:dyDescent="0.15">
      <c r="A33" s="1">
        <v>2.1</v>
      </c>
      <c r="B33" s="1" t="s">
        <v>7</v>
      </c>
      <c r="C33" s="1">
        <v>33</v>
      </c>
      <c r="D33" s="1" t="s">
        <v>8</v>
      </c>
      <c r="E33" s="1" t="s">
        <v>17</v>
      </c>
      <c r="F33" s="1" t="s">
        <v>10</v>
      </c>
      <c r="G33" s="1">
        <v>2013</v>
      </c>
      <c r="H33" s="1">
        <v>2015</v>
      </c>
      <c r="I33" s="2">
        <f>main[[#This Row],[שנת סיום]]-main[[#This Row],[שנת התחלה]]</f>
        <v>2</v>
      </c>
      <c r="J33" s="2" t="str">
        <f>CONCATENATE(main[[#This Row],[שנת התחלה]], "-", main[[#This Row],[שנת סיום]])</f>
        <v>2013-2015</v>
      </c>
      <c r="K33" s="1" t="e" cm="1">
        <f t="array" ref="K33">vloo</f>
        <v>#NAME?</v>
      </c>
      <c r="L33" s="1" t="str">
        <f>VLOOKUP(B33,תארים[],8,TRUE)</f>
        <v>אוניברסיטת MIT</v>
      </c>
      <c r="M33" s="1" t="str">
        <f>VLOOKUP(B33,תארים[],9,TRUE)</f>
        <v xml:space="preserve"> אוניברסיטת MIT בסלואן</v>
      </c>
      <c r="N33" s="1">
        <f>VLOOKUP(B33,תארים[],4,TRUE)</f>
        <v>2</v>
      </c>
      <c r="O33" s="1" t="str">
        <f>VLOOKUP(B33,תארים[],5,TRUE)</f>
        <v>אדריכלות</v>
      </c>
      <c r="P33" s="1" t="str">
        <f>VLOOKUP(B33,תארים[],5,TRUE)</f>
        <v>אדריכלות</v>
      </c>
      <c r="Q33" s="1" t="str">
        <f>IF(main[[#This Row],[ממשלה]]="34+",1,"")</f>
        <v/>
      </c>
      <c r="R33" s="1"/>
    </row>
    <row r="34" spans="1:18" ht="15.75" hidden="1" customHeight="1" x14ac:dyDescent="0.15">
      <c r="A34" s="1">
        <v>2.2000000000000002</v>
      </c>
      <c r="B34" s="1" t="s">
        <v>7</v>
      </c>
      <c r="C34" s="1">
        <v>33</v>
      </c>
      <c r="D34" s="1" t="s">
        <v>18</v>
      </c>
      <c r="E34" s="1" t="s">
        <v>17</v>
      </c>
      <c r="F34" s="1" t="s">
        <v>19</v>
      </c>
      <c r="G34" s="1">
        <v>2013</v>
      </c>
      <c r="H34" s="1">
        <v>2015</v>
      </c>
      <c r="I34" s="2">
        <f>main[[#This Row],[שנת סיום]]-main[[#This Row],[שנת התחלה]]</f>
        <v>2</v>
      </c>
      <c r="J34" s="2" t="str">
        <f>CONCATENATE(main[[#This Row],[שנת התחלה]], "-", main[[#This Row],[שנת סיום]])</f>
        <v>2013-2015</v>
      </c>
      <c r="K34" s="1" t="e" cm="1">
        <f t="array" ref="K34">vloo</f>
        <v>#NAME?</v>
      </c>
      <c r="L34" s="1" t="str">
        <f>VLOOKUP(B34,תארים[],8,TRUE)</f>
        <v>אוניברסיטת MIT</v>
      </c>
      <c r="M34" s="1" t="str">
        <f>VLOOKUP(B34,תארים[],9,TRUE)</f>
        <v xml:space="preserve"> אוניברסיטת MIT בסלואן</v>
      </c>
      <c r="N34" s="1">
        <f>VLOOKUP(B34,תארים[],4,TRUE)</f>
        <v>2</v>
      </c>
      <c r="O34" s="1" t="str">
        <f>VLOOKUP(B34,תארים[],5,TRUE)</f>
        <v>אדריכלות</v>
      </c>
      <c r="P34" s="1" t="str">
        <f>VLOOKUP(B34,תארים[],5,TRUE)</f>
        <v>אדריכלות</v>
      </c>
      <c r="Q34" s="1" t="str">
        <f>IF(main[[#This Row],[ממשלה]]="34+",1,"")</f>
        <v/>
      </c>
      <c r="R34" s="1"/>
    </row>
    <row r="35" spans="1:18" ht="15.75" hidden="1" customHeight="1" x14ac:dyDescent="0.15">
      <c r="A35" s="1">
        <v>2.2999999999999998</v>
      </c>
      <c r="B35" s="1" t="s">
        <v>7</v>
      </c>
      <c r="C35" s="1">
        <v>33</v>
      </c>
      <c r="D35" s="1" t="s">
        <v>20</v>
      </c>
      <c r="E35" s="1" t="s">
        <v>17</v>
      </c>
      <c r="F35" s="1" t="s">
        <v>21</v>
      </c>
      <c r="G35" s="1">
        <v>2013</v>
      </c>
      <c r="H35" s="1">
        <v>2015</v>
      </c>
      <c r="I35" s="2">
        <f>main[[#This Row],[שנת סיום]]-main[[#This Row],[שנת התחלה]]</f>
        <v>2</v>
      </c>
      <c r="J35" s="2" t="str">
        <f>CONCATENATE(main[[#This Row],[שנת התחלה]], "-", main[[#This Row],[שנת סיום]])</f>
        <v>2013-2015</v>
      </c>
      <c r="K35" s="1" t="e" cm="1">
        <f t="array" ref="K35">vloo</f>
        <v>#NAME?</v>
      </c>
      <c r="L35" s="1" t="str">
        <f>VLOOKUP(B35,תארים[],8,TRUE)</f>
        <v>אוניברסיטת MIT</v>
      </c>
      <c r="M35" s="1" t="str">
        <f>VLOOKUP(B35,תארים[],9,TRUE)</f>
        <v xml:space="preserve"> אוניברסיטת MIT בסלואן</v>
      </c>
      <c r="N35" s="1">
        <f>VLOOKUP(B35,תארים[],4,TRUE)</f>
        <v>2</v>
      </c>
      <c r="O35" s="1" t="str">
        <f>VLOOKUP(B35,תארים[],5,TRUE)</f>
        <v>אדריכלות</v>
      </c>
      <c r="P35" s="1" t="str">
        <f>VLOOKUP(B35,תארים[],5,TRUE)</f>
        <v>אדריכלות</v>
      </c>
      <c r="Q35" s="1" t="str">
        <f>IF(main[[#This Row],[ממשלה]]="34+",1,"")</f>
        <v/>
      </c>
      <c r="R35" s="1"/>
    </row>
    <row r="36" spans="1:18" ht="15.75" customHeight="1" x14ac:dyDescent="0.15">
      <c r="A36" s="1">
        <v>3.1</v>
      </c>
      <c r="B36" s="1" t="s">
        <v>7</v>
      </c>
      <c r="C36" s="1" t="s">
        <v>22</v>
      </c>
      <c r="D36" s="1" t="s">
        <v>8</v>
      </c>
      <c r="E36" s="1" t="s">
        <v>23</v>
      </c>
      <c r="F36" s="1" t="s">
        <v>10</v>
      </c>
      <c r="G36" s="1">
        <v>2015</v>
      </c>
      <c r="H36" s="1">
        <v>2021</v>
      </c>
      <c r="I36" s="2">
        <f>main[[#This Row],[שנת סיום]]-main[[#This Row],[שנת התחלה]]</f>
        <v>6</v>
      </c>
      <c r="J36" s="2" t="str">
        <f>CONCATENATE(main[[#This Row],[שנת התחלה]], "-", main[[#This Row],[שנת סיום]])</f>
        <v>2015-2021</v>
      </c>
      <c r="K36" s="1" t="str">
        <f>VLOOKUP(B36,תארים[],2,TRUE)</f>
        <v>תואר ראשון, תואר שני</v>
      </c>
      <c r="L36" s="1" t="str">
        <f>VLOOKUP(B36,תארים[],8,TRUE)</f>
        <v>אוניברסיטת MIT</v>
      </c>
      <c r="M36" s="1" t="str">
        <f>VLOOKUP(B36,תארים[],9,TRUE)</f>
        <v xml:space="preserve"> אוניברסיטת MIT בסלואן</v>
      </c>
      <c r="N36" s="1">
        <f>VLOOKUP(B36,תארים[],4,TRUE)</f>
        <v>2</v>
      </c>
      <c r="O36" s="1" t="str">
        <f>VLOOKUP(B36,תארים[],5,TRUE)</f>
        <v>אדריכלות</v>
      </c>
      <c r="P36" s="1" t="str">
        <f>VLOOKUP(B36,תארים[],6,TRUE)</f>
        <v>מנהל עסקים</v>
      </c>
      <c r="Q36" s="1">
        <f>IF(main[[#This Row],[ממשלה]]="34+",1,"")</f>
        <v>1</v>
      </c>
      <c r="R36" s="1" t="s">
        <v>238</v>
      </c>
    </row>
    <row r="37" spans="1:18" ht="15.75" hidden="1" customHeight="1" x14ac:dyDescent="0.15">
      <c r="A37" s="1">
        <v>3.2</v>
      </c>
      <c r="B37" s="1" t="s">
        <v>7</v>
      </c>
      <c r="C37" s="1">
        <v>34</v>
      </c>
      <c r="D37" s="1" t="s">
        <v>18</v>
      </c>
      <c r="E37" s="1" t="s">
        <v>23</v>
      </c>
      <c r="F37" s="1" t="s">
        <v>19</v>
      </c>
      <c r="G37" s="1">
        <v>2015</v>
      </c>
      <c r="H37" s="1">
        <v>2015</v>
      </c>
      <c r="I37" s="2">
        <f>main[[#This Row],[שנת סיום]]-main[[#This Row],[שנת התחלה]]</f>
        <v>0</v>
      </c>
      <c r="J37" s="2" t="str">
        <f>CONCATENATE(main[[#This Row],[שנת התחלה]], "-", main[[#This Row],[שנת סיום]])</f>
        <v>2015-2015</v>
      </c>
      <c r="K37" s="1" t="e" cm="1">
        <f t="array" ref="K37">vloo</f>
        <v>#NAME?</v>
      </c>
      <c r="L37" s="1" t="str">
        <f>VLOOKUP(B37,תארים[],8,TRUE)</f>
        <v>אוניברסיטת MIT</v>
      </c>
      <c r="M37" s="1" t="str">
        <f>VLOOKUP(B37,תארים[],9,TRUE)</f>
        <v xml:space="preserve"> אוניברסיטת MIT בסלואן</v>
      </c>
      <c r="N37" s="1">
        <f>VLOOKUP(B37,תארים[],4,TRUE)</f>
        <v>2</v>
      </c>
      <c r="O37" s="1" t="str">
        <f>VLOOKUP(B37,תארים[],5,TRUE)</f>
        <v>אדריכלות</v>
      </c>
      <c r="P37" s="1" t="str">
        <f>VLOOKUP(B37,תארים[],5,TRUE)</f>
        <v>אדריכלות</v>
      </c>
      <c r="Q37" s="1" t="str">
        <f>IF(main[[#This Row],[ממשלה]]="34+",1,"")</f>
        <v/>
      </c>
      <c r="R37" s="1"/>
    </row>
    <row r="38" spans="1:18" ht="15.75" hidden="1" customHeight="1" x14ac:dyDescent="0.15">
      <c r="A38" s="1">
        <v>3.3</v>
      </c>
      <c r="B38" s="1" t="s">
        <v>7</v>
      </c>
      <c r="C38" s="1">
        <v>34</v>
      </c>
      <c r="D38" s="1" t="s">
        <v>11</v>
      </c>
      <c r="E38" s="1" t="s">
        <v>23</v>
      </c>
      <c r="F38" s="1" t="s">
        <v>12</v>
      </c>
      <c r="G38" s="1">
        <v>2015</v>
      </c>
      <c r="H38" s="1">
        <v>2015</v>
      </c>
      <c r="I38" s="2">
        <f>main[[#This Row],[שנת סיום]]-main[[#This Row],[שנת התחלה]]</f>
        <v>0</v>
      </c>
      <c r="J38" s="2" t="str">
        <f>CONCATENATE(main[[#This Row],[שנת התחלה]], "-", main[[#This Row],[שנת סיום]])</f>
        <v>2015-2015</v>
      </c>
      <c r="K38" s="1" t="e" cm="1">
        <f t="array" ref="K38">vloo</f>
        <v>#NAME?</v>
      </c>
      <c r="L38" s="1" t="str">
        <f>VLOOKUP(B38,תארים[],8,TRUE)</f>
        <v>אוניברסיטת MIT</v>
      </c>
      <c r="M38" s="1" t="str">
        <f>VLOOKUP(B38,תארים[],9,TRUE)</f>
        <v xml:space="preserve"> אוניברסיטת MIT בסלואן</v>
      </c>
      <c r="N38" s="1">
        <f>VLOOKUP(B38,תארים[],4,TRUE)</f>
        <v>2</v>
      </c>
      <c r="O38" s="1" t="str">
        <f>VLOOKUP(B38,תארים[],5,TRUE)</f>
        <v>אדריכלות</v>
      </c>
      <c r="P38" s="1" t="str">
        <f>VLOOKUP(B38,תארים[],5,TRUE)</f>
        <v>אדריכלות</v>
      </c>
      <c r="Q38" s="1" t="str">
        <f>IF(main[[#This Row],[ממשלה]]="34+",1,"")</f>
        <v/>
      </c>
      <c r="R38" s="1"/>
    </row>
    <row r="39" spans="1:18" ht="15.75" hidden="1" customHeight="1" x14ac:dyDescent="0.15">
      <c r="A39" s="1">
        <v>3.4</v>
      </c>
      <c r="B39" s="1" t="s">
        <v>7</v>
      </c>
      <c r="C39" s="1">
        <v>34</v>
      </c>
      <c r="D39" s="1" t="s">
        <v>24</v>
      </c>
      <c r="E39" s="1" t="s">
        <v>23</v>
      </c>
      <c r="F39" s="1" t="s">
        <v>25</v>
      </c>
      <c r="G39" s="1">
        <v>2015</v>
      </c>
      <c r="H39" s="1">
        <v>2015</v>
      </c>
      <c r="I39" s="2">
        <f>main[[#This Row],[שנת סיום]]-main[[#This Row],[שנת התחלה]]</f>
        <v>0</v>
      </c>
      <c r="J39" s="2" t="str">
        <f>CONCATENATE(main[[#This Row],[שנת התחלה]], "-", main[[#This Row],[שנת סיום]])</f>
        <v>2015-2015</v>
      </c>
      <c r="K39" s="1" t="e" cm="1">
        <f t="array" ref="K39">vloo</f>
        <v>#NAME?</v>
      </c>
      <c r="L39" s="1" t="str">
        <f>VLOOKUP(B39,תארים[],8,TRUE)</f>
        <v>אוניברסיטת MIT</v>
      </c>
      <c r="M39" s="1" t="str">
        <f>VLOOKUP(B39,תארים[],9,TRUE)</f>
        <v xml:space="preserve"> אוניברסיטת MIT בסלואן</v>
      </c>
      <c r="N39" s="1">
        <f>VLOOKUP(B39,תארים[],4,TRUE)</f>
        <v>2</v>
      </c>
      <c r="O39" s="1" t="str">
        <f>VLOOKUP(B39,תארים[],5,TRUE)</f>
        <v>אדריכלות</v>
      </c>
      <c r="P39" s="1" t="str">
        <f>VLOOKUP(B39,תארים[],5,TRUE)</f>
        <v>אדריכלות</v>
      </c>
      <c r="Q39" s="1" t="str">
        <f>IF(main[[#This Row],[ממשלה]]="34+",1,"")</f>
        <v/>
      </c>
      <c r="R39" s="1"/>
    </row>
    <row r="40" spans="1:18" ht="15.75" hidden="1" customHeight="1" x14ac:dyDescent="0.15">
      <c r="A40" s="1">
        <v>3.5</v>
      </c>
      <c r="B40" s="1" t="s">
        <v>7</v>
      </c>
      <c r="C40" s="1">
        <v>34</v>
      </c>
      <c r="D40" s="1" t="s">
        <v>26</v>
      </c>
      <c r="E40" s="1" t="s">
        <v>23</v>
      </c>
      <c r="F40" s="1" t="s">
        <v>19</v>
      </c>
      <c r="G40" s="1">
        <v>2015</v>
      </c>
      <c r="H40" s="1">
        <v>2015</v>
      </c>
      <c r="I40" s="2">
        <f>main[[#This Row],[שנת סיום]]-main[[#This Row],[שנת התחלה]]</f>
        <v>0</v>
      </c>
      <c r="J40" s="2" t="str">
        <f>CONCATENATE(main[[#This Row],[שנת התחלה]], "-", main[[#This Row],[שנת סיום]])</f>
        <v>2015-2015</v>
      </c>
      <c r="K40" s="1" t="e" cm="1">
        <f t="array" ref="K40">vloo</f>
        <v>#NAME?</v>
      </c>
      <c r="L40" s="1" t="str">
        <f>VLOOKUP(B40,תארים[],8,TRUE)</f>
        <v>אוניברסיטת MIT</v>
      </c>
      <c r="M40" s="1" t="str">
        <f>VLOOKUP(B40,תארים[],9,TRUE)</f>
        <v xml:space="preserve"> אוניברסיטת MIT בסלואן</v>
      </c>
      <c r="N40" s="1">
        <f>VLOOKUP(B40,תארים[],4,TRUE)</f>
        <v>2</v>
      </c>
      <c r="O40" s="1" t="str">
        <f>VLOOKUP(B40,תארים[],5,TRUE)</f>
        <v>אדריכלות</v>
      </c>
      <c r="P40" s="1" t="str">
        <f>VLOOKUP(B40,תארים[],5,TRUE)</f>
        <v>אדריכלות</v>
      </c>
      <c r="Q40" s="1" t="str">
        <f>IF(main[[#This Row],[ממשלה]]="34+",1,"")</f>
        <v/>
      </c>
      <c r="R40" s="1"/>
    </row>
    <row r="41" spans="1:18" ht="15.75" customHeight="1" x14ac:dyDescent="0.15">
      <c r="A41" s="1">
        <v>4.0999999999999996</v>
      </c>
      <c r="B41" s="1" t="s">
        <v>7</v>
      </c>
      <c r="C41" s="1" t="s">
        <v>22</v>
      </c>
      <c r="D41" s="1" t="s">
        <v>8</v>
      </c>
      <c r="E41" s="1" t="s">
        <v>23</v>
      </c>
      <c r="F41" s="1" t="s">
        <v>10</v>
      </c>
      <c r="G41" s="1">
        <v>2022</v>
      </c>
      <c r="H41" s="1">
        <v>2025</v>
      </c>
      <c r="I41" s="2">
        <f>main[[#This Row],[שנת סיום]]-main[[#This Row],[שנת התחלה]]</f>
        <v>3</v>
      </c>
      <c r="J41" s="2" t="str">
        <f>CONCATENATE(main[[#This Row],[שנת התחלה]], "-", main[[#This Row],[שנת סיום]])</f>
        <v>2022-2025</v>
      </c>
      <c r="K41" s="1" t="str">
        <f>VLOOKUP(B41,תארים[],2,TRUE)</f>
        <v>תואר ראשון, תואר שני</v>
      </c>
      <c r="L41" s="1" t="str">
        <f>VLOOKUP(B41,תארים[],8,TRUE)</f>
        <v>אוניברסיטת MIT</v>
      </c>
      <c r="M41" s="1" t="str">
        <f>VLOOKUP(B41,תארים[],9,TRUE)</f>
        <v xml:space="preserve"> אוניברסיטת MIT בסלואן</v>
      </c>
      <c r="N41" s="1">
        <f>VLOOKUP(B41,תארים[],4,TRUE)</f>
        <v>2</v>
      </c>
      <c r="O41" s="1" t="str">
        <f>VLOOKUP(B41,תארים[],5,TRUE)</f>
        <v>אדריכלות</v>
      </c>
      <c r="P41" s="1" t="str">
        <f>VLOOKUP(B41,תארים[],6,TRUE)</f>
        <v>מנהל עסקים</v>
      </c>
      <c r="Q41" s="1">
        <f>IF(main[[#This Row],[ממשלה]]="34+",1,"")</f>
        <v>1</v>
      </c>
      <c r="R41" s="1" t="s">
        <v>238</v>
      </c>
    </row>
    <row r="42" spans="1:18" ht="15.75" customHeight="1" x14ac:dyDescent="0.15">
      <c r="A42" s="1">
        <v>23.1</v>
      </c>
      <c r="B42" s="1" t="s">
        <v>55</v>
      </c>
      <c r="C42" s="1" t="s">
        <v>22</v>
      </c>
      <c r="D42" s="1" t="s">
        <v>49</v>
      </c>
      <c r="E42" s="1" t="s">
        <v>56</v>
      </c>
      <c r="F42" s="1" t="s">
        <v>25</v>
      </c>
      <c r="G42" s="1">
        <v>2019</v>
      </c>
      <c r="H42" s="1">
        <v>2020</v>
      </c>
      <c r="I42" s="2">
        <f>main[[#This Row],[שנת סיום]]-main[[#This Row],[שנת התחלה]]</f>
        <v>1</v>
      </c>
      <c r="J42" s="2" t="str">
        <f>CONCATENATE(main[[#This Row],[שנת התחלה]], "-", main[[#This Row],[שנת סיום]])</f>
        <v>2019-2020</v>
      </c>
      <c r="K42" s="1" t="str">
        <f>VLOOKUP(B42,תארים[],2,TRUE)</f>
        <v>תואר ראשון</v>
      </c>
      <c r="L42" s="1" t="str">
        <f>VLOOKUP(B42,תארים[],8,TRUE)</f>
        <v>אקדמית אונו</v>
      </c>
      <c r="M42" s="1">
        <f>VLOOKUP(B42,תארים[],9,TRUE)</f>
        <v>0</v>
      </c>
      <c r="N42" s="1">
        <f>VLOOKUP(B42,תארים[],4,TRUE)</f>
        <v>1</v>
      </c>
      <c r="O42" s="1" t="str">
        <f>VLOOKUP(B42,תארים[],5,TRUE)</f>
        <v>משפטים</v>
      </c>
      <c r="P42" s="1">
        <f>VLOOKUP(B42,תארים[],6,TRUE)</f>
        <v>0</v>
      </c>
      <c r="Q42" s="1">
        <f>IF(main[[#This Row],[ממשלה]]="34+",1,"")</f>
        <v>1</v>
      </c>
      <c r="R42" s="1" t="s">
        <v>248</v>
      </c>
    </row>
    <row r="43" spans="1:18" ht="15.75" customHeight="1" x14ac:dyDescent="0.15">
      <c r="A43" s="1">
        <v>24.1</v>
      </c>
      <c r="B43" s="1" t="s">
        <v>55</v>
      </c>
      <c r="C43" s="1" t="s">
        <v>22</v>
      </c>
      <c r="D43" s="1" t="s">
        <v>33</v>
      </c>
      <c r="E43" s="1" t="s">
        <v>56</v>
      </c>
      <c r="F43" s="1" t="s">
        <v>35</v>
      </c>
      <c r="G43" s="1">
        <v>2022</v>
      </c>
      <c r="H43" s="1">
        <v>2025</v>
      </c>
      <c r="I43" s="2">
        <f>main[[#This Row],[שנת סיום]]-main[[#This Row],[שנת התחלה]]</f>
        <v>3</v>
      </c>
      <c r="J43" s="2" t="str">
        <f>CONCATENATE(main[[#This Row],[שנת התחלה]], "-", main[[#This Row],[שנת סיום]])</f>
        <v>2022-2025</v>
      </c>
      <c r="K43" s="1" t="str">
        <f>VLOOKUP(B43,תארים[],2,TRUE)</f>
        <v>תואר ראשון</v>
      </c>
      <c r="L43" s="1" t="str">
        <f>VLOOKUP(B43,תארים[],8,TRUE)</f>
        <v>אקדמית אונו</v>
      </c>
      <c r="M43" s="1">
        <f>VLOOKUP(B43,תארים[],9,TRUE)</f>
        <v>0</v>
      </c>
      <c r="N43" s="1">
        <f>VLOOKUP(B43,תארים[],4,TRUE)</f>
        <v>1</v>
      </c>
      <c r="O43" s="1" t="str">
        <f>VLOOKUP(B43,תארים[],5,TRUE)</f>
        <v>משפטים</v>
      </c>
      <c r="P43" s="1">
        <f>VLOOKUP(B43,תארים[],6,TRUE)</f>
        <v>0</v>
      </c>
      <c r="Q43" s="1">
        <f>IF(main[[#This Row],[ממשלה]]="34+",1,"")</f>
        <v>1</v>
      </c>
      <c r="R43" s="1" t="s">
        <v>248</v>
      </c>
    </row>
    <row r="44" spans="1:18" ht="15.75" hidden="1" customHeight="1" x14ac:dyDescent="0.15">
      <c r="A44" s="1">
        <v>26.1</v>
      </c>
      <c r="B44" s="1" t="s">
        <v>61</v>
      </c>
      <c r="C44" s="1">
        <v>32</v>
      </c>
      <c r="D44" s="1" t="s">
        <v>62</v>
      </c>
      <c r="E44" s="1" t="s">
        <v>9</v>
      </c>
      <c r="F44" s="1" t="s">
        <v>63</v>
      </c>
      <c r="G44" s="1">
        <v>2009</v>
      </c>
      <c r="H44" s="1">
        <v>2013</v>
      </c>
      <c r="I44" s="2">
        <f>main[[#This Row],[שנת סיום]]-main[[#This Row],[שנת התחלה]]</f>
        <v>4</v>
      </c>
      <c r="J44" s="2" t="str">
        <f>CONCATENATE(main[[#This Row],[שנת התחלה]], "-", main[[#This Row],[שנת סיום]])</f>
        <v>2009-2013</v>
      </c>
      <c r="K44" s="1" t="e" cm="1">
        <f t="array" ref="K44">vloo</f>
        <v>#NAME?</v>
      </c>
      <c r="L44" s="1" t="str">
        <f>VLOOKUP(B44,תארים[],8,TRUE)</f>
        <v>אוניברסיטת תל אביב</v>
      </c>
      <c r="M44" s="1">
        <f>VLOOKUP(B44,תארים[],9,TRUE)</f>
        <v>0</v>
      </c>
      <c r="N44" s="1">
        <f>VLOOKUP(B44,תארים[],4,TRUE)</f>
        <v>1</v>
      </c>
      <c r="O44" s="1" t="str">
        <f>VLOOKUP(B44,תארים[],5,TRUE)</f>
        <v>משפטים</v>
      </c>
      <c r="P44" s="1" t="str">
        <f>VLOOKUP(B44,תארים[],5,TRUE)</f>
        <v>משפטים</v>
      </c>
      <c r="Q44" s="1" t="str">
        <f>IF(main[[#This Row],[ממשלה]]="34+",1,"")</f>
        <v/>
      </c>
      <c r="R44" s="1"/>
    </row>
    <row r="45" spans="1:18" ht="15.75" hidden="1" customHeight="1" x14ac:dyDescent="0.15">
      <c r="A45" s="1">
        <v>27.1</v>
      </c>
      <c r="B45" s="1" t="s">
        <v>61</v>
      </c>
      <c r="C45" s="1">
        <v>33</v>
      </c>
      <c r="D45" s="1" t="s">
        <v>54</v>
      </c>
      <c r="E45" s="1" t="s">
        <v>17</v>
      </c>
      <c r="F45" s="1" t="s">
        <v>12</v>
      </c>
      <c r="G45" s="1">
        <v>2013</v>
      </c>
      <c r="H45" s="1">
        <v>2015</v>
      </c>
      <c r="I45" s="2">
        <f>main[[#This Row],[שנת סיום]]-main[[#This Row],[שנת התחלה]]</f>
        <v>2</v>
      </c>
      <c r="J45" s="2" t="str">
        <f>CONCATENATE(main[[#This Row],[שנת התחלה]], "-", main[[#This Row],[שנת סיום]])</f>
        <v>2013-2015</v>
      </c>
      <c r="K45" s="1" t="e" cm="1">
        <f t="array" ref="K45">vloo</f>
        <v>#NAME?</v>
      </c>
      <c r="L45" s="1" t="str">
        <f>VLOOKUP(B45,תארים[],8,TRUE)</f>
        <v>אוניברסיטת תל אביב</v>
      </c>
      <c r="M45" s="1">
        <f>VLOOKUP(B45,תארים[],9,TRUE)</f>
        <v>0</v>
      </c>
      <c r="N45" s="1">
        <f>VLOOKUP(B45,תארים[],4,TRUE)</f>
        <v>1</v>
      </c>
      <c r="O45" s="1" t="str">
        <f>VLOOKUP(B45,תארים[],5,TRUE)</f>
        <v>משפטים</v>
      </c>
      <c r="P45" s="1" t="str">
        <f>VLOOKUP(B45,תארים[],5,TRUE)</f>
        <v>משפטים</v>
      </c>
      <c r="Q45" s="1" t="str">
        <f>IF(main[[#This Row],[ממשלה]]="34+",1,"")</f>
        <v/>
      </c>
      <c r="R45" s="1"/>
    </row>
    <row r="46" spans="1:18" ht="15.75" customHeight="1" x14ac:dyDescent="0.15">
      <c r="A46" s="1">
        <v>28.1</v>
      </c>
      <c r="B46" s="1" t="s">
        <v>61</v>
      </c>
      <c r="C46" s="1" t="s">
        <v>22</v>
      </c>
      <c r="D46" s="1" t="s">
        <v>64</v>
      </c>
      <c r="E46" s="1" t="s">
        <v>65</v>
      </c>
      <c r="F46" s="1" t="s">
        <v>66</v>
      </c>
      <c r="G46" s="1">
        <v>2021</v>
      </c>
      <c r="H46" s="1">
        <v>2022</v>
      </c>
      <c r="I46" s="2">
        <f>main[[#This Row],[שנת סיום]]-main[[#This Row],[שנת התחלה]]</f>
        <v>1</v>
      </c>
      <c r="J46" s="2" t="str">
        <f>CONCATENATE(main[[#This Row],[שנת התחלה]], "-", main[[#This Row],[שנת סיום]])</f>
        <v>2021-2022</v>
      </c>
      <c r="K46" s="1" t="str">
        <f>VLOOKUP(B46,תארים[],2,TRUE)</f>
        <v>תואר ראשון</v>
      </c>
      <c r="L46" s="1" t="str">
        <f>VLOOKUP(B46,תארים[],8,TRUE)</f>
        <v>אוניברסיטת תל אביב</v>
      </c>
      <c r="M46" s="1">
        <f>VLOOKUP(B46,תארים[],9,TRUE)</f>
        <v>0</v>
      </c>
      <c r="N46" s="1">
        <f>VLOOKUP(B46,תארים[],4,TRUE)</f>
        <v>1</v>
      </c>
      <c r="O46" s="1" t="str">
        <f>VLOOKUP(B46,תארים[],5,TRUE)</f>
        <v>משפטים</v>
      </c>
      <c r="P46" s="1" t="str">
        <f>VLOOKUP(B46,תארים[],6,TRUE)</f>
        <v>מדעי המדינה</v>
      </c>
      <c r="Q46" s="1">
        <f>IF(main[[#This Row],[ממשלה]]="34+",1,"")</f>
        <v>1</v>
      </c>
      <c r="R46" s="1" t="s">
        <v>249</v>
      </c>
    </row>
    <row r="47" spans="1:18" ht="15.75" hidden="1" customHeight="1" x14ac:dyDescent="0.15">
      <c r="A47" s="1">
        <v>43.1</v>
      </c>
      <c r="B47" s="1" t="s">
        <v>84</v>
      </c>
      <c r="C47" s="1">
        <v>32</v>
      </c>
      <c r="D47" s="1" t="s">
        <v>85</v>
      </c>
      <c r="E47" s="1" t="s">
        <v>9</v>
      </c>
      <c r="F47" s="1" t="s">
        <v>25</v>
      </c>
      <c r="G47" s="1">
        <v>2009</v>
      </c>
      <c r="H47" s="1">
        <v>2013</v>
      </c>
      <c r="I47" s="2">
        <f>main[[#This Row],[שנת סיום]]-main[[#This Row],[שנת התחלה]]</f>
        <v>4</v>
      </c>
      <c r="J47" s="2" t="str">
        <f>CONCATENATE(main[[#This Row],[שנת התחלה]], "-", main[[#This Row],[שנת סיום]])</f>
        <v>2009-2013</v>
      </c>
      <c r="K47" s="1" t="e" cm="1">
        <f t="array" ref="K47">vloo</f>
        <v>#NAME?</v>
      </c>
      <c r="L47" s="1" t="str">
        <f>VLOOKUP(B47,תארים[],8,TRUE)</f>
        <v>אוניברסיטת תל אביב</v>
      </c>
      <c r="M47" s="1">
        <f>VLOOKUP(B47,תארים[],9,TRUE)</f>
        <v>0</v>
      </c>
      <c r="N47" s="1">
        <f>VLOOKUP(B47,תארים[],4,TRUE)</f>
        <v>1</v>
      </c>
      <c r="O47" s="1" t="str">
        <f>VLOOKUP(B47,תארים[],5,TRUE)</f>
        <v>משפטים</v>
      </c>
      <c r="P47" s="1" t="str">
        <f>VLOOKUP(B47,תארים[],5,TRUE)</f>
        <v>משפטים</v>
      </c>
      <c r="Q47" s="1" t="str">
        <f>IF(main[[#This Row],[ממשלה]]="34+",1,"")</f>
        <v/>
      </c>
      <c r="R47" s="1"/>
    </row>
    <row r="48" spans="1:18" ht="15.75" hidden="1" customHeight="1" x14ac:dyDescent="0.15">
      <c r="A48" s="1">
        <v>43.2</v>
      </c>
      <c r="B48" s="1" t="s">
        <v>84</v>
      </c>
      <c r="C48" s="1">
        <v>32</v>
      </c>
      <c r="D48" s="1" t="s">
        <v>86</v>
      </c>
      <c r="E48" s="1" t="s">
        <v>9</v>
      </c>
      <c r="F48" s="1" t="s">
        <v>16</v>
      </c>
      <c r="G48" s="1">
        <v>2009</v>
      </c>
      <c r="H48" s="1">
        <v>2013</v>
      </c>
      <c r="I48" s="2">
        <f>main[[#This Row],[שנת סיום]]-main[[#This Row],[שנת התחלה]]</f>
        <v>4</v>
      </c>
      <c r="J48" s="2" t="str">
        <f>CONCATENATE(main[[#This Row],[שנת התחלה]], "-", main[[#This Row],[שנת סיום]])</f>
        <v>2009-2013</v>
      </c>
      <c r="K48" s="1" t="e" cm="1">
        <f t="array" ref="K48">vloo</f>
        <v>#NAME?</v>
      </c>
      <c r="L48" s="1" t="str">
        <f>VLOOKUP(B48,תארים[],8,TRUE)</f>
        <v>אוניברסיטת תל אביב</v>
      </c>
      <c r="M48" s="1">
        <f>VLOOKUP(B48,תארים[],9,TRUE)</f>
        <v>0</v>
      </c>
      <c r="N48" s="1">
        <f>VLOOKUP(B48,תארים[],4,TRUE)</f>
        <v>1</v>
      </c>
      <c r="O48" s="1" t="str">
        <f>VLOOKUP(B48,תארים[],5,TRUE)</f>
        <v>משפטים</v>
      </c>
      <c r="P48" s="1" t="str">
        <f>VLOOKUP(B48,תארים[],5,TRUE)</f>
        <v>משפטים</v>
      </c>
      <c r="Q48" s="1" t="str">
        <f>IF(main[[#This Row],[ממשלה]]="34+",1,"")</f>
        <v/>
      </c>
      <c r="R48" s="1"/>
    </row>
    <row r="49" spans="1:18" ht="15.75" hidden="1" customHeight="1" x14ac:dyDescent="0.15">
      <c r="A49" s="1">
        <v>44.1</v>
      </c>
      <c r="B49" s="1" t="s">
        <v>84</v>
      </c>
      <c r="C49" s="1">
        <v>33</v>
      </c>
      <c r="D49" s="1" t="s">
        <v>87</v>
      </c>
      <c r="E49" s="1" t="s">
        <v>17</v>
      </c>
      <c r="F49" s="1" t="s">
        <v>60</v>
      </c>
      <c r="G49" s="1">
        <v>2013</v>
      </c>
      <c r="H49" s="1">
        <v>2015</v>
      </c>
      <c r="I49" s="2">
        <f>main[[#This Row],[שנת סיום]]-main[[#This Row],[שנת התחלה]]</f>
        <v>2</v>
      </c>
      <c r="J49" s="2" t="str">
        <f>CONCATENATE(main[[#This Row],[שנת התחלה]], "-", main[[#This Row],[שנת סיום]])</f>
        <v>2013-2015</v>
      </c>
      <c r="K49" s="1" t="e" cm="1">
        <f t="array" ref="K49">vloo</f>
        <v>#NAME?</v>
      </c>
      <c r="L49" s="1" t="str">
        <f>VLOOKUP(B49,תארים[],8,TRUE)</f>
        <v>אוניברסיטת תל אביב</v>
      </c>
      <c r="M49" s="1">
        <f>VLOOKUP(B49,תארים[],9,TRUE)</f>
        <v>0</v>
      </c>
      <c r="N49" s="1">
        <f>VLOOKUP(B49,תארים[],4,TRUE)</f>
        <v>1</v>
      </c>
      <c r="O49" s="1" t="str">
        <f>VLOOKUP(B49,תארים[],5,TRUE)</f>
        <v>משפטים</v>
      </c>
      <c r="P49" s="1" t="str">
        <f>VLOOKUP(B49,תארים[],5,TRUE)</f>
        <v>משפטים</v>
      </c>
      <c r="Q49" s="1" t="str">
        <f>IF(main[[#This Row],[ממשלה]]="34+",1,"")</f>
        <v/>
      </c>
      <c r="R49" s="1"/>
    </row>
    <row r="50" spans="1:18" ht="15.75" hidden="1" customHeight="1" x14ac:dyDescent="0.15">
      <c r="A50" s="1">
        <v>44.2</v>
      </c>
      <c r="B50" s="1" t="s">
        <v>84</v>
      </c>
      <c r="C50" s="1">
        <v>33</v>
      </c>
      <c r="D50" s="1" t="s">
        <v>24</v>
      </c>
      <c r="E50" s="1" t="s">
        <v>17</v>
      </c>
      <c r="F50" s="1" t="s">
        <v>25</v>
      </c>
      <c r="G50" s="1">
        <v>2013</v>
      </c>
      <c r="H50" s="1">
        <v>2015</v>
      </c>
      <c r="I50" s="2">
        <f>main[[#This Row],[שנת סיום]]-main[[#This Row],[שנת התחלה]]</f>
        <v>2</v>
      </c>
      <c r="J50" s="2" t="str">
        <f>CONCATENATE(main[[#This Row],[שנת התחלה]], "-", main[[#This Row],[שנת סיום]])</f>
        <v>2013-2015</v>
      </c>
      <c r="K50" s="1" t="e" cm="1">
        <f t="array" ref="K50">vloo</f>
        <v>#NAME?</v>
      </c>
      <c r="L50" s="1" t="str">
        <f>VLOOKUP(B50,תארים[],8,TRUE)</f>
        <v>אוניברסיטת תל אביב</v>
      </c>
      <c r="M50" s="1">
        <f>VLOOKUP(B50,תארים[],9,TRUE)</f>
        <v>0</v>
      </c>
      <c r="N50" s="1">
        <f>VLOOKUP(B50,תארים[],4,TRUE)</f>
        <v>1</v>
      </c>
      <c r="O50" s="1" t="str">
        <f>VLOOKUP(B50,תארים[],5,TRUE)</f>
        <v>משפטים</v>
      </c>
      <c r="P50" s="1" t="str">
        <f>VLOOKUP(B50,תארים[],5,TRUE)</f>
        <v>משפטים</v>
      </c>
      <c r="Q50" s="1" t="str">
        <f>IF(main[[#This Row],[ממשלה]]="34+",1,"")</f>
        <v/>
      </c>
      <c r="R50" s="1"/>
    </row>
    <row r="51" spans="1:18" ht="13" x14ac:dyDescent="0.15">
      <c r="A51" s="1">
        <v>45.1</v>
      </c>
      <c r="B51" s="1" t="s">
        <v>84</v>
      </c>
      <c r="C51" s="1" t="s">
        <v>22</v>
      </c>
      <c r="D51" s="1" t="s">
        <v>88</v>
      </c>
      <c r="E51" s="1" t="s">
        <v>23</v>
      </c>
      <c r="F51" s="1" t="s">
        <v>60</v>
      </c>
      <c r="G51" s="1">
        <v>2015</v>
      </c>
      <c r="H51" s="1">
        <v>2020</v>
      </c>
      <c r="I51" s="2">
        <f>main[[#This Row],[שנת סיום]]-main[[#This Row],[שנת התחלה]]</f>
        <v>5</v>
      </c>
      <c r="J51" s="2" t="str">
        <f>CONCATENATE(main[[#This Row],[שנת התחלה]], "-", main[[#This Row],[שנת סיום]])</f>
        <v>2015-2020</v>
      </c>
      <c r="K51" s="1" t="str">
        <f>VLOOKUP(B51,תארים[],2,TRUE)</f>
        <v>תואר ראשון</v>
      </c>
      <c r="L51" s="1" t="str">
        <f>VLOOKUP(B51,תארים[],8,TRUE)</f>
        <v>אוניברסיטת תל אביב</v>
      </c>
      <c r="M51" s="1">
        <f>VLOOKUP(B51,תארים[],9,TRUE)</f>
        <v>0</v>
      </c>
      <c r="N51" s="1">
        <f>VLOOKUP(B51,תארים[],4,TRUE)</f>
        <v>1</v>
      </c>
      <c r="O51" s="1" t="str">
        <f>VLOOKUP(B51,תארים[],5,TRUE)</f>
        <v>משפטים</v>
      </c>
      <c r="P51" s="1" t="str">
        <f>VLOOKUP(B51,תארים[],6,TRUE)</f>
        <v>מדעי המדינה</v>
      </c>
      <c r="Q51" s="1">
        <f>IF(main[[#This Row],[ממשלה]]="34+",1,"")</f>
        <v>1</v>
      </c>
      <c r="R51" s="1" t="s">
        <v>238</v>
      </c>
    </row>
    <row r="52" spans="1:18" ht="13" hidden="1" x14ac:dyDescent="0.15">
      <c r="A52" s="1">
        <v>92.1</v>
      </c>
      <c r="B52" s="1" t="s">
        <v>160</v>
      </c>
      <c r="C52" s="1">
        <v>34</v>
      </c>
      <c r="D52" s="1" t="s">
        <v>39</v>
      </c>
      <c r="E52" s="1" t="s">
        <v>52</v>
      </c>
      <c r="F52" s="1" t="s">
        <v>12</v>
      </c>
      <c r="G52" s="1">
        <v>2015</v>
      </c>
      <c r="H52" s="1">
        <v>2018</v>
      </c>
      <c r="I52" s="2">
        <f>main[[#This Row],[שנת סיום]]-main[[#This Row],[שנת התחלה]]</f>
        <v>3</v>
      </c>
      <c r="J52" s="2" t="str">
        <f>CONCATENATE(main[[#This Row],[שנת התחלה]], "-", main[[#This Row],[שנת סיום]])</f>
        <v>2015-2018</v>
      </c>
      <c r="K52" s="1" t="e" cm="1">
        <f t="array" ref="K52">vloo</f>
        <v>#NAME?</v>
      </c>
      <c r="L52" s="1" t="str">
        <f>VLOOKUP(B52,תארים[],8,TRUE)</f>
        <v>אוניברסיטת תל אביב</v>
      </c>
      <c r="M52" s="1">
        <f>VLOOKUP(B52,תארים[],9,TRUE)</f>
        <v>0</v>
      </c>
      <c r="N52" s="1">
        <f>VLOOKUP(B52,תארים[],4,TRUE)</f>
        <v>1</v>
      </c>
      <c r="O52" s="1" t="str">
        <f>VLOOKUP(B52,תארים[],5,TRUE)</f>
        <v>משפטים</v>
      </c>
      <c r="P52" s="1" t="str">
        <f>VLOOKUP(B52,תארים[],5,TRUE)</f>
        <v>משפטים</v>
      </c>
      <c r="Q52" s="1" t="str">
        <f>IF(main[[#This Row],[ממשלה]]="34+",1,"")</f>
        <v/>
      </c>
      <c r="R52" s="1"/>
    </row>
    <row r="53" spans="1:18" ht="13" hidden="1" x14ac:dyDescent="0.15">
      <c r="A53" s="1">
        <v>60.1</v>
      </c>
      <c r="B53" s="1" t="s">
        <v>113</v>
      </c>
      <c r="C53" s="1">
        <v>32</v>
      </c>
      <c r="D53" s="1" t="s">
        <v>114</v>
      </c>
      <c r="E53" s="1" t="s">
        <v>9</v>
      </c>
      <c r="F53" s="1" t="s">
        <v>19</v>
      </c>
      <c r="G53" s="1">
        <v>2009</v>
      </c>
      <c r="H53" s="1">
        <v>2013</v>
      </c>
      <c r="I53" s="2">
        <f>main[[#This Row],[שנת סיום]]-main[[#This Row],[שנת התחלה]]</f>
        <v>4</v>
      </c>
      <c r="J53" s="2" t="str">
        <f>CONCATENATE(main[[#This Row],[שנת התחלה]], "-", main[[#This Row],[שנת סיום]])</f>
        <v>2009-2013</v>
      </c>
      <c r="K53" s="1" t="e" cm="1">
        <f t="array" ref="K53">vloo</f>
        <v>#NAME?</v>
      </c>
      <c r="L53" s="1" t="str">
        <f>VLOOKUP(B53,תארים[],8,TRUE)</f>
        <v>אוניברסיטת תל אביב</v>
      </c>
      <c r="M53" s="1">
        <f>VLOOKUP(B53,תארים[],9,TRUE)</f>
        <v>0</v>
      </c>
      <c r="N53" s="1">
        <f>VLOOKUP(B53,תארים[],4,TRUE)</f>
        <v>1</v>
      </c>
      <c r="O53" s="1" t="str">
        <f>VLOOKUP(B53,תארים[],5,TRUE)</f>
        <v>משפטים</v>
      </c>
      <c r="P53" s="1" t="str">
        <f>VLOOKUP(B53,תארים[],5,TRUE)</f>
        <v>משפטים</v>
      </c>
      <c r="Q53" s="1" t="str">
        <f>IF(main[[#This Row],[ממשלה]]="34+",1,"")</f>
        <v/>
      </c>
      <c r="R53" s="1"/>
    </row>
    <row r="54" spans="1:18" ht="13" hidden="1" x14ac:dyDescent="0.15">
      <c r="A54" s="1">
        <v>60.2</v>
      </c>
      <c r="B54" s="1" t="s">
        <v>113</v>
      </c>
      <c r="C54" s="1">
        <v>32</v>
      </c>
      <c r="D54" s="1" t="s">
        <v>115</v>
      </c>
      <c r="E54" s="1" t="s">
        <v>9</v>
      </c>
      <c r="F54" s="1" t="s">
        <v>16</v>
      </c>
      <c r="G54" s="1">
        <v>2009</v>
      </c>
      <c r="H54" s="1">
        <v>2013</v>
      </c>
      <c r="I54" s="2">
        <f>main[[#This Row],[שנת סיום]]-main[[#This Row],[שנת התחלה]]</f>
        <v>4</v>
      </c>
      <c r="J54" s="2" t="str">
        <f>CONCATENATE(main[[#This Row],[שנת התחלה]], "-", main[[#This Row],[שנת סיום]])</f>
        <v>2009-2013</v>
      </c>
      <c r="K54" s="1" t="e" cm="1">
        <f t="array" ref="K54">vloo</f>
        <v>#NAME?</v>
      </c>
      <c r="L54" s="1" t="str">
        <f>VLOOKUP(B54,תארים[],8,TRUE)</f>
        <v>אוניברסיטת תל אביב</v>
      </c>
      <c r="M54" s="1">
        <f>VLOOKUP(B54,תארים[],9,TRUE)</f>
        <v>0</v>
      </c>
      <c r="N54" s="1">
        <f>VLOOKUP(B54,תארים[],4,TRUE)</f>
        <v>1</v>
      </c>
      <c r="O54" s="1" t="str">
        <f>VLOOKUP(B54,תארים[],5,TRUE)</f>
        <v>משפטים</v>
      </c>
      <c r="P54" s="1" t="str">
        <f>VLOOKUP(B54,תארים[],5,TRUE)</f>
        <v>משפטים</v>
      </c>
      <c r="Q54" s="1" t="str">
        <f>IF(main[[#This Row],[ממשלה]]="34+",1,"")</f>
        <v/>
      </c>
      <c r="R54" s="1"/>
    </row>
    <row r="55" spans="1:18" ht="13" hidden="1" x14ac:dyDescent="0.15">
      <c r="A55" s="1">
        <v>60.3</v>
      </c>
      <c r="B55" s="1" t="s">
        <v>113</v>
      </c>
      <c r="C55" s="1">
        <v>32</v>
      </c>
      <c r="D55" s="1" t="s">
        <v>45</v>
      </c>
      <c r="E55" s="1" t="s">
        <v>9</v>
      </c>
      <c r="F55" s="1" t="s">
        <v>16</v>
      </c>
      <c r="G55" s="1">
        <v>2009</v>
      </c>
      <c r="H55" s="1">
        <v>2013</v>
      </c>
      <c r="I55" s="2">
        <f>main[[#This Row],[שנת סיום]]-main[[#This Row],[שנת התחלה]]</f>
        <v>4</v>
      </c>
      <c r="J55" s="2" t="str">
        <f>CONCATENATE(main[[#This Row],[שנת התחלה]], "-", main[[#This Row],[שנת סיום]])</f>
        <v>2009-2013</v>
      </c>
      <c r="K55" s="1" t="e" cm="1">
        <f t="array" ref="K55">vloo</f>
        <v>#NAME?</v>
      </c>
      <c r="L55" s="1" t="str">
        <f>VLOOKUP(B55,תארים[],8,TRUE)</f>
        <v>אוניברסיטת תל אביב</v>
      </c>
      <c r="M55" s="1">
        <f>VLOOKUP(B55,תארים[],9,TRUE)</f>
        <v>0</v>
      </c>
      <c r="N55" s="1">
        <f>VLOOKUP(B55,תארים[],4,TRUE)</f>
        <v>1</v>
      </c>
      <c r="O55" s="1" t="str">
        <f>VLOOKUP(B55,תארים[],5,TRUE)</f>
        <v>משפטים</v>
      </c>
      <c r="P55" s="1" t="str">
        <f>VLOOKUP(B55,תארים[],5,TRUE)</f>
        <v>משפטים</v>
      </c>
      <c r="Q55" s="1" t="str">
        <f>IF(main[[#This Row],[ממשלה]]="34+",1,"")</f>
        <v/>
      </c>
      <c r="R55" s="1"/>
    </row>
    <row r="56" spans="1:18" ht="13" hidden="1" x14ac:dyDescent="0.15">
      <c r="A56" s="1">
        <v>69.099999999999994</v>
      </c>
      <c r="B56" s="1" t="s">
        <v>130</v>
      </c>
      <c r="C56" s="1">
        <v>32</v>
      </c>
      <c r="D56" s="1" t="s">
        <v>131</v>
      </c>
      <c r="E56" s="1" t="s">
        <v>38</v>
      </c>
      <c r="F56" s="1" t="s">
        <v>63</v>
      </c>
      <c r="G56" s="1">
        <v>2009</v>
      </c>
      <c r="H56" s="1">
        <v>2013</v>
      </c>
      <c r="I56" s="2">
        <f>main[[#This Row],[שנת סיום]]-main[[#This Row],[שנת התחלה]]</f>
        <v>4</v>
      </c>
      <c r="J56" s="2" t="str">
        <f>CONCATENATE(main[[#This Row],[שנת התחלה]], "-", main[[#This Row],[שנת סיום]])</f>
        <v>2009-2013</v>
      </c>
      <c r="K56" s="1" t="e" cm="1">
        <f t="array" ref="K56">vloo</f>
        <v>#NAME?</v>
      </c>
      <c r="L56" s="1" t="str">
        <f>VLOOKUP(B56,תארים[],8,TRUE)</f>
        <v>אוניברסיטת תל אביב</v>
      </c>
      <c r="M56" s="1">
        <f>VLOOKUP(B56,תארים[],9,TRUE)</f>
        <v>0</v>
      </c>
      <c r="N56" s="1">
        <f>VLOOKUP(B56,תארים[],4,TRUE)</f>
        <v>1</v>
      </c>
      <c r="O56" s="1" t="str">
        <f>VLOOKUP(B56,תארים[],5,TRUE)</f>
        <v>משפטים</v>
      </c>
      <c r="P56" s="1" t="str">
        <f>VLOOKUP(B56,תארים[],5,TRUE)</f>
        <v>משפטים</v>
      </c>
      <c r="Q56" s="1" t="str">
        <f>IF(main[[#This Row],[ממשלה]]="34+",1,"")</f>
        <v/>
      </c>
      <c r="R56" s="1"/>
    </row>
    <row r="57" spans="1:18" ht="13" hidden="1" x14ac:dyDescent="0.15">
      <c r="A57" s="1">
        <v>93.1</v>
      </c>
      <c r="B57" s="1" t="s">
        <v>161</v>
      </c>
      <c r="C57" s="1">
        <v>34</v>
      </c>
      <c r="D57" s="1" t="s">
        <v>162</v>
      </c>
      <c r="E57" s="1" t="s">
        <v>9</v>
      </c>
      <c r="F57" s="1" t="s">
        <v>12</v>
      </c>
      <c r="G57" s="1">
        <v>2015</v>
      </c>
      <c r="H57" s="1">
        <v>2016</v>
      </c>
      <c r="I57" s="2">
        <f>main[[#This Row],[שנת סיום]]-main[[#This Row],[שנת התחלה]]</f>
        <v>1</v>
      </c>
      <c r="J57" s="2" t="str">
        <f>CONCATENATE(main[[#This Row],[שנת התחלה]], "-", main[[#This Row],[שנת סיום]])</f>
        <v>2015-2016</v>
      </c>
      <c r="K57" s="1" t="e" cm="1">
        <f t="array" ref="K57">vloo</f>
        <v>#NAME?</v>
      </c>
      <c r="L57" s="1" t="str">
        <f>VLOOKUP(B57,תארים[],8,TRUE)</f>
        <v>אוניברסיטת תל אביב</v>
      </c>
      <c r="M57" s="1">
        <f>VLOOKUP(B57,תארים[],9,TRUE)</f>
        <v>0</v>
      </c>
      <c r="N57" s="1">
        <f>VLOOKUP(B57,תארים[],4,TRUE)</f>
        <v>1</v>
      </c>
      <c r="O57" s="1" t="str">
        <f>VLOOKUP(B57,תארים[],5,TRUE)</f>
        <v>משפטים</v>
      </c>
      <c r="P57" s="1" t="str">
        <f>VLOOKUP(B57,תארים[],5,TRUE)</f>
        <v>משפטים</v>
      </c>
      <c r="Q57" s="1" t="str">
        <f>IF(main[[#This Row],[ממשלה]]="34+",1,"")</f>
        <v/>
      </c>
      <c r="R57" s="1"/>
    </row>
    <row r="58" spans="1:18" ht="13" hidden="1" x14ac:dyDescent="0.15">
      <c r="A58" s="1">
        <v>93.2</v>
      </c>
      <c r="B58" s="1" t="s">
        <v>161</v>
      </c>
      <c r="C58" s="1">
        <v>34</v>
      </c>
      <c r="D58" s="1" t="s">
        <v>163</v>
      </c>
      <c r="E58" s="1" t="s">
        <v>9</v>
      </c>
      <c r="F58" s="1" t="s">
        <v>16</v>
      </c>
      <c r="G58" s="1">
        <v>2015</v>
      </c>
      <c r="H58" s="1">
        <v>2016</v>
      </c>
      <c r="I58" s="2">
        <f>main[[#This Row],[שנת סיום]]-main[[#This Row],[שנת התחלה]]</f>
        <v>1</v>
      </c>
      <c r="J58" s="2" t="str">
        <f>CONCATENATE(main[[#This Row],[שנת התחלה]], "-", main[[#This Row],[שנת סיום]])</f>
        <v>2015-2016</v>
      </c>
      <c r="K58" s="1" t="e" cm="1">
        <f t="array" ref="K58">vloo</f>
        <v>#NAME?</v>
      </c>
      <c r="L58" s="1" t="str">
        <f>VLOOKUP(B58,תארים[],8,TRUE)</f>
        <v>אוניברסיטת תל אביב</v>
      </c>
      <c r="M58" s="1">
        <f>VLOOKUP(B58,תארים[],9,TRUE)</f>
        <v>0</v>
      </c>
      <c r="N58" s="1">
        <f>VLOOKUP(B58,תארים[],4,TRUE)</f>
        <v>1</v>
      </c>
      <c r="O58" s="1" t="str">
        <f>VLOOKUP(B58,תארים[],5,TRUE)</f>
        <v>משפטים</v>
      </c>
      <c r="P58" s="1" t="str">
        <f>VLOOKUP(B58,תארים[],5,TRUE)</f>
        <v>משפטים</v>
      </c>
      <c r="Q58" s="1" t="str">
        <f>IF(main[[#This Row],[ממשלה]]="34+",1,"")</f>
        <v/>
      </c>
      <c r="R58" s="1"/>
    </row>
    <row r="59" spans="1:18" ht="13" hidden="1" x14ac:dyDescent="0.15">
      <c r="A59" s="1">
        <v>65.099999999999994</v>
      </c>
      <c r="B59" s="1" t="s">
        <v>123</v>
      </c>
      <c r="C59" s="1">
        <v>32</v>
      </c>
      <c r="D59" s="1" t="s">
        <v>124</v>
      </c>
      <c r="E59" s="1" t="s">
        <v>9</v>
      </c>
      <c r="F59" s="1" t="s">
        <v>12</v>
      </c>
      <c r="G59" s="1">
        <v>2009</v>
      </c>
      <c r="H59" s="1">
        <v>2013</v>
      </c>
      <c r="I59" s="2">
        <f>main[[#This Row],[שנת סיום]]-main[[#This Row],[שנת התחלה]]</f>
        <v>4</v>
      </c>
      <c r="J59" s="2" t="str">
        <f>CONCATENATE(main[[#This Row],[שנת התחלה]], "-", main[[#This Row],[שנת סיום]])</f>
        <v>2009-2013</v>
      </c>
      <c r="K59" s="1" t="e" cm="1">
        <f t="array" ref="K59">vloo</f>
        <v>#NAME?</v>
      </c>
      <c r="L59" s="1" t="str">
        <f>VLOOKUP(B59,תארים[],8,TRUE)</f>
        <v>אוניברסיטת תל אביב</v>
      </c>
      <c r="M59" s="1">
        <f>VLOOKUP(B59,תארים[],9,TRUE)</f>
        <v>0</v>
      </c>
      <c r="N59" s="1">
        <f>VLOOKUP(B59,תארים[],4,TRUE)</f>
        <v>1</v>
      </c>
      <c r="O59" s="1" t="str">
        <f>VLOOKUP(B59,תארים[],5,TRUE)</f>
        <v>משפטים</v>
      </c>
      <c r="P59" s="1" t="str">
        <f>VLOOKUP(B59,תארים[],5,TRUE)</f>
        <v>משפטים</v>
      </c>
      <c r="Q59" s="1" t="str">
        <f>IF(main[[#This Row],[ממשלה]]="34+",1,"")</f>
        <v/>
      </c>
      <c r="R59" s="1"/>
    </row>
    <row r="60" spans="1:18" ht="13" hidden="1" x14ac:dyDescent="0.15">
      <c r="A60" s="1">
        <v>94.1</v>
      </c>
      <c r="B60" s="1" t="s">
        <v>164</v>
      </c>
      <c r="C60" s="1">
        <v>34</v>
      </c>
      <c r="D60" s="1" t="s">
        <v>129</v>
      </c>
      <c r="E60" s="1" t="s">
        <v>9</v>
      </c>
      <c r="F60" s="1" t="s">
        <v>12</v>
      </c>
      <c r="G60" s="1">
        <v>2015</v>
      </c>
      <c r="H60" s="1">
        <v>2019</v>
      </c>
      <c r="I60" s="2">
        <f>main[[#This Row],[שנת סיום]]-main[[#This Row],[שנת התחלה]]</f>
        <v>4</v>
      </c>
      <c r="J60" s="2" t="str">
        <f>CONCATENATE(main[[#This Row],[שנת התחלה]], "-", main[[#This Row],[שנת סיום]])</f>
        <v>2015-2019</v>
      </c>
      <c r="K60" s="1" t="e" cm="1">
        <f t="array" ref="K60">vloo</f>
        <v>#NAME?</v>
      </c>
      <c r="L60" s="1" t="str">
        <f>VLOOKUP(B60,תארים[],8,TRUE)</f>
        <v>אוניברסיטת תל אביב</v>
      </c>
      <c r="M60" s="1">
        <f>VLOOKUP(B60,תארים[],9,TRUE)</f>
        <v>0</v>
      </c>
      <c r="N60" s="1">
        <f>VLOOKUP(B60,תארים[],4,TRUE)</f>
        <v>1</v>
      </c>
      <c r="O60" s="1" t="str">
        <f>VLOOKUP(B60,תארים[],5,TRUE)</f>
        <v>משפטים</v>
      </c>
      <c r="P60" s="1" t="str">
        <f>VLOOKUP(B60,תארים[],5,TRUE)</f>
        <v>משפטים</v>
      </c>
      <c r="Q60" s="1" t="str">
        <f>IF(main[[#This Row],[ממשלה]]="34+",1,"")</f>
        <v/>
      </c>
      <c r="R60" s="1"/>
    </row>
    <row r="61" spans="1:18" ht="13" x14ac:dyDescent="0.15">
      <c r="A61" s="1">
        <v>56.1</v>
      </c>
      <c r="B61" s="1" t="s">
        <v>106</v>
      </c>
      <c r="C61" s="1" t="s">
        <v>22</v>
      </c>
      <c r="D61" s="1" t="s">
        <v>107</v>
      </c>
      <c r="E61" s="1" t="s">
        <v>76</v>
      </c>
      <c r="F61" s="1" t="s">
        <v>35</v>
      </c>
      <c r="G61" s="1">
        <v>2021</v>
      </c>
      <c r="H61" s="1">
        <v>2022</v>
      </c>
      <c r="I61" s="2">
        <f>main[[#This Row],[שנת סיום]]-main[[#This Row],[שנת התחלה]]</f>
        <v>1</v>
      </c>
      <c r="J61" s="2" t="str">
        <f>CONCATENATE(main[[#This Row],[שנת התחלה]], "-", main[[#This Row],[שנת סיום]])</f>
        <v>2021-2022</v>
      </c>
      <c r="K61" s="1" t="str">
        <f>VLOOKUP(B61,תארים[],2,TRUE)</f>
        <v>תואר ראשון, תואר שני</v>
      </c>
      <c r="L61" s="1" t="str">
        <f>VLOOKUP(B61,תארים[],8,TRUE)</f>
        <v>אוניברסיטת תל אביב</v>
      </c>
      <c r="M61" s="1" t="str">
        <f>VLOOKUP(B61,תארים[],9,TRUE)</f>
        <v xml:space="preserve"> אוניברסיטת הרווארד</v>
      </c>
      <c r="N61" s="1">
        <f>VLOOKUP(B61,תארים[],4,TRUE)</f>
        <v>2</v>
      </c>
      <c r="O61" s="1" t="str">
        <f>VLOOKUP(B61,תארים[],5,TRUE)</f>
        <v>מדעי המדינה</v>
      </c>
      <c r="P61" s="1" t="str">
        <f>VLOOKUP(B61,תארים[],6,TRUE)</f>
        <v>ניהול</v>
      </c>
      <c r="Q61" s="1">
        <f>IF(main[[#This Row],[ממשלה]]="34+",1,"")</f>
        <v>1</v>
      </c>
      <c r="R61" s="1" t="s">
        <v>237</v>
      </c>
    </row>
    <row r="62" spans="1:18" ht="13" hidden="1" x14ac:dyDescent="0.15">
      <c r="A62" s="1">
        <v>7.1</v>
      </c>
      <c r="B62" s="1" t="s">
        <v>32</v>
      </c>
      <c r="C62" s="1">
        <v>33</v>
      </c>
      <c r="D62" s="1" t="s">
        <v>33</v>
      </c>
      <c r="E62" s="1" t="s">
        <v>34</v>
      </c>
      <c r="F62" s="1" t="s">
        <v>35</v>
      </c>
      <c r="G62" s="1">
        <v>2013</v>
      </c>
      <c r="H62" s="1">
        <v>2015</v>
      </c>
      <c r="I62" s="2">
        <f>main[[#This Row],[שנת סיום]]-main[[#This Row],[שנת התחלה]]</f>
        <v>2</v>
      </c>
      <c r="J62" s="2" t="str">
        <f>CONCATENATE(main[[#This Row],[שנת התחלה]], "-", main[[#This Row],[שנת סיום]])</f>
        <v>2013-2015</v>
      </c>
      <c r="K62" s="1" t="e" cm="1">
        <f t="array" ref="K62">vloo</f>
        <v>#NAME?</v>
      </c>
      <c r="L62" s="1" t="str">
        <f>VLOOKUP(B62,תארים[],8,TRUE)</f>
        <v xml:space="preserve">אוניברסיטת בר-אילן </v>
      </c>
      <c r="M62" s="1">
        <f>VLOOKUP(B62,תארים[],9,TRUE)</f>
        <v>0</v>
      </c>
      <c r="N62" s="1">
        <f>VLOOKUP(B62,תארים[],4,TRUE)</f>
        <v>1</v>
      </c>
      <c r="O62" s="1" t="str">
        <f>VLOOKUP(B62,תארים[],5,TRUE)</f>
        <v>פרשנות ותרבות</v>
      </c>
      <c r="P62" s="1" t="str">
        <f>VLOOKUP(B62,תארים[],5,TRUE)</f>
        <v>פרשנות ותרבות</v>
      </c>
      <c r="Q62" s="1" t="str">
        <f>IF(main[[#This Row],[ממשלה]]="34+",1,"")</f>
        <v/>
      </c>
      <c r="R62" s="1"/>
    </row>
    <row r="63" spans="1:18" ht="13" x14ac:dyDescent="0.15">
      <c r="A63" s="1">
        <v>8.1</v>
      </c>
      <c r="B63" s="1" t="s">
        <v>32</v>
      </c>
      <c r="C63" s="1" t="s">
        <v>22</v>
      </c>
      <c r="D63" s="1" t="s">
        <v>18</v>
      </c>
      <c r="E63" s="1" t="s">
        <v>34</v>
      </c>
      <c r="F63" s="1" t="s">
        <v>19</v>
      </c>
      <c r="G63" s="1">
        <v>2021</v>
      </c>
      <c r="H63" s="1">
        <v>2022</v>
      </c>
      <c r="I63" s="2">
        <f>main[[#This Row],[שנת סיום]]-main[[#This Row],[שנת התחלה]]</f>
        <v>1</v>
      </c>
      <c r="J63" s="2" t="str">
        <f>CONCATENATE(main[[#This Row],[שנת התחלה]], "-", main[[#This Row],[שנת סיום]])</f>
        <v>2021-2022</v>
      </c>
      <c r="K63" s="1" t="str">
        <f>VLOOKUP(B63,תארים[],2,TRUE)</f>
        <v>תואר שני ללא ראשון</v>
      </c>
      <c r="L63" s="1" t="str">
        <f>VLOOKUP(B63,תארים[],8,TRUE)</f>
        <v xml:space="preserve">אוניברסיטת בר-אילן </v>
      </c>
      <c r="M63" s="1">
        <f>VLOOKUP(B63,תארים[],9,TRUE)</f>
        <v>0</v>
      </c>
      <c r="N63" s="1">
        <f>VLOOKUP(B63,תארים[],4,TRUE)</f>
        <v>1</v>
      </c>
      <c r="O63" s="1" t="str">
        <f>VLOOKUP(B63,תארים[],5,TRUE)</f>
        <v>פרשנות ותרבות</v>
      </c>
      <c r="P63" s="1">
        <f>VLOOKUP(B63,תארים[],6,TRUE)</f>
        <v>0</v>
      </c>
      <c r="Q63" s="1">
        <f>IF(main[[#This Row],[ממשלה]]="34+",1,"")</f>
        <v>1</v>
      </c>
      <c r="R63" s="1" t="s">
        <v>239</v>
      </c>
    </row>
    <row r="64" spans="1:18" ht="13" x14ac:dyDescent="0.15">
      <c r="A64" s="1">
        <v>9.1</v>
      </c>
      <c r="B64" s="1" t="s">
        <v>32</v>
      </c>
      <c r="C64" s="1" t="s">
        <v>22</v>
      </c>
      <c r="D64" s="1" t="s">
        <v>8</v>
      </c>
      <c r="E64" s="1" t="s">
        <v>34</v>
      </c>
      <c r="F64" s="1" t="s">
        <v>10</v>
      </c>
      <c r="G64" s="1">
        <v>2022</v>
      </c>
      <c r="H64" s="1">
        <v>2022</v>
      </c>
      <c r="I64" s="2">
        <f>main[[#This Row],[שנת סיום]]-main[[#This Row],[שנת התחלה]]</f>
        <v>0</v>
      </c>
      <c r="J64" s="2" t="str">
        <f>CONCATENATE(main[[#This Row],[שנת התחלה]], "-", main[[#This Row],[שנת סיום]])</f>
        <v>2022-2022</v>
      </c>
      <c r="K64" s="1" t="str">
        <f>VLOOKUP(B64,תארים[],2,TRUE)</f>
        <v>תואר שני ללא ראשון</v>
      </c>
      <c r="L64" s="1" t="str">
        <f>VLOOKUP(B64,תארים[],8,TRUE)</f>
        <v xml:space="preserve">אוניברסיטת בר-אילן </v>
      </c>
      <c r="M64" s="1">
        <f>VLOOKUP(B64,תארים[],9,TRUE)</f>
        <v>0</v>
      </c>
      <c r="N64" s="1">
        <f>VLOOKUP(B64,תארים[],4,TRUE)</f>
        <v>1</v>
      </c>
      <c r="O64" s="1" t="str">
        <f>VLOOKUP(B64,תארים[],5,TRUE)</f>
        <v>פרשנות ותרבות</v>
      </c>
      <c r="P64" s="1">
        <f>VLOOKUP(B64,תארים[],6,TRUE)</f>
        <v>0</v>
      </c>
      <c r="Q64" s="1">
        <f>IF(main[[#This Row],[ממשלה]]="34+",1,"")</f>
        <v>1</v>
      </c>
      <c r="R64" s="1" t="s">
        <v>239</v>
      </c>
    </row>
    <row r="65" spans="1:18" ht="13" hidden="1" x14ac:dyDescent="0.15">
      <c r="A65" s="1">
        <v>91.1</v>
      </c>
      <c r="B65" s="1" t="s">
        <v>159</v>
      </c>
      <c r="C65" s="1">
        <v>33</v>
      </c>
      <c r="D65" s="1" t="s">
        <v>152</v>
      </c>
      <c r="E65" s="1" t="s">
        <v>17</v>
      </c>
      <c r="F65" s="1" t="s">
        <v>35</v>
      </c>
      <c r="G65" s="1">
        <v>2013</v>
      </c>
      <c r="H65" s="1">
        <v>2015</v>
      </c>
      <c r="I65" s="2">
        <f>main[[#This Row],[שנת סיום]]-main[[#This Row],[שנת התחלה]]</f>
        <v>2</v>
      </c>
      <c r="J65" s="2" t="str">
        <f>CONCATENATE(main[[#This Row],[שנת התחלה]], "-", main[[#This Row],[שנת סיום]])</f>
        <v>2013-2015</v>
      </c>
      <c r="K65" s="1" t="e" cm="1">
        <f t="array" ref="K65">vloo</f>
        <v>#NAME?</v>
      </c>
      <c r="L65" s="1" t="str">
        <f>VLOOKUP(B65,תארים[],8,TRUE)</f>
        <v xml:space="preserve">אוניברסיטת בר-אילן </v>
      </c>
      <c r="M65" s="1">
        <f>VLOOKUP(B65,תארים[],9,TRUE)</f>
        <v>0</v>
      </c>
      <c r="N65" s="1">
        <f>VLOOKUP(B65,תארים[],4,TRUE)</f>
        <v>1</v>
      </c>
      <c r="O65" s="1" t="str">
        <f>VLOOKUP(B65,תארים[],5,TRUE)</f>
        <v>פרשנות ותרבות</v>
      </c>
      <c r="P65" s="1" t="str">
        <f>VLOOKUP(B65,תארים[],5,TRUE)</f>
        <v>פרשנות ותרבות</v>
      </c>
      <c r="Q65" s="1" t="str">
        <f>IF(main[[#This Row],[ממשלה]]="34+",1,"")</f>
        <v/>
      </c>
      <c r="R65" s="1"/>
    </row>
    <row r="66" spans="1:18" ht="13" hidden="1" x14ac:dyDescent="0.15">
      <c r="A66" s="1">
        <v>29.1</v>
      </c>
      <c r="B66" s="1" t="s">
        <v>67</v>
      </c>
      <c r="C66" s="1">
        <v>34</v>
      </c>
      <c r="D66" s="1" t="s">
        <v>68</v>
      </c>
      <c r="E66" s="1" t="s">
        <v>69</v>
      </c>
      <c r="F66" s="1" t="s">
        <v>25</v>
      </c>
      <c r="G66" s="1">
        <v>2015</v>
      </c>
      <c r="H66" s="1">
        <v>2016</v>
      </c>
      <c r="I66" s="2">
        <f>main[[#This Row],[שנת סיום]]-main[[#This Row],[שנת התחלה]]</f>
        <v>1</v>
      </c>
      <c r="J66" s="2" t="str">
        <f>CONCATENATE(main[[#This Row],[שנת התחלה]], "-", main[[#This Row],[שנת סיום]])</f>
        <v>2015-2016</v>
      </c>
      <c r="K66" s="1" t="e" cm="1">
        <f t="array" ref="K66">vloo</f>
        <v>#NAME?</v>
      </c>
      <c r="L66" s="1" t="str">
        <f>VLOOKUP(B66,תארים[],8,TRUE)</f>
        <v>אוניברסיטת חיפה</v>
      </c>
      <c r="M66" s="1">
        <f>VLOOKUP(B66,תארים[],9,TRUE)</f>
        <v>0</v>
      </c>
      <c r="N66" s="1">
        <f>VLOOKUP(B66,תארים[],4,TRUE)</f>
        <v>1</v>
      </c>
      <c r="O66" s="1" t="str">
        <f>VLOOKUP(B66,תארים[],5,TRUE)</f>
        <v>כלכלה</v>
      </c>
      <c r="P66" s="1" t="str">
        <f>VLOOKUP(B66,תארים[],5,TRUE)</f>
        <v>כלכלה</v>
      </c>
      <c r="Q66" s="1" t="str">
        <f>IF(main[[#This Row],[ממשלה]]="34+",1,"")</f>
        <v/>
      </c>
      <c r="R66" s="1"/>
    </row>
    <row r="67" spans="1:18" ht="13" x14ac:dyDescent="0.15">
      <c r="A67" s="1">
        <v>30.1</v>
      </c>
      <c r="B67" s="1" t="s">
        <v>67</v>
      </c>
      <c r="C67" s="1" t="s">
        <v>22</v>
      </c>
      <c r="D67" s="1" t="s">
        <v>62</v>
      </c>
      <c r="E67" s="1" t="s">
        <v>23</v>
      </c>
      <c r="F67" s="1" t="s">
        <v>63</v>
      </c>
      <c r="G67" s="1">
        <v>2022</v>
      </c>
      <c r="H67" s="1">
        <v>2022</v>
      </c>
      <c r="I67" s="2">
        <f>main[[#This Row],[שנת סיום]]-main[[#This Row],[שנת התחלה]]</f>
        <v>0</v>
      </c>
      <c r="J67" s="2" t="str">
        <f>CONCATENATE(main[[#This Row],[שנת התחלה]], "-", main[[#This Row],[שנת סיום]])</f>
        <v>2022-2022</v>
      </c>
      <c r="K67" s="1" t="str">
        <f>VLOOKUP(B67,תארים[],2,TRUE)</f>
        <v>תואר ראשון</v>
      </c>
      <c r="L67" s="1" t="str">
        <f>VLOOKUP(B67,תארים[],8,TRUE)</f>
        <v>אוניברסיטת חיפה</v>
      </c>
      <c r="M67" s="1">
        <f>VLOOKUP(B67,תארים[],9,TRUE)</f>
        <v>0</v>
      </c>
      <c r="N67" s="1">
        <f>VLOOKUP(B67,תארים[],4,TRUE)</f>
        <v>1</v>
      </c>
      <c r="O67" s="1" t="str">
        <f>VLOOKUP(B67,תארים[],5,TRUE)</f>
        <v>כלכלה</v>
      </c>
      <c r="P67" s="1" t="str">
        <f>VLOOKUP(B67,תארים[],6,TRUE)</f>
        <v>ניהול</v>
      </c>
      <c r="Q67" s="1">
        <f>IF(main[[#This Row],[ממשלה]]="34+",1,"")</f>
        <v>1</v>
      </c>
      <c r="R67" s="1" t="s">
        <v>237</v>
      </c>
    </row>
    <row r="68" spans="1:18" ht="13" x14ac:dyDescent="0.15">
      <c r="A68" s="1">
        <v>31.1</v>
      </c>
      <c r="B68" s="1" t="s">
        <v>67</v>
      </c>
      <c r="C68" s="1" t="s">
        <v>22</v>
      </c>
      <c r="D68" s="1" t="s">
        <v>28</v>
      </c>
      <c r="E68" s="1" t="s">
        <v>23</v>
      </c>
      <c r="F68" s="1" t="s">
        <v>30</v>
      </c>
      <c r="G68" s="1">
        <v>2022</v>
      </c>
      <c r="H68" s="1">
        <v>2025</v>
      </c>
      <c r="I68" s="2">
        <f>main[[#This Row],[שנת סיום]]-main[[#This Row],[שנת התחלה]]</f>
        <v>3</v>
      </c>
      <c r="J68" s="2" t="str">
        <f>CONCATENATE(main[[#This Row],[שנת התחלה]], "-", main[[#This Row],[שנת סיום]])</f>
        <v>2022-2025</v>
      </c>
      <c r="K68" s="1" t="str">
        <f>VLOOKUP(B68,תארים[],2,TRUE)</f>
        <v>תואר ראשון</v>
      </c>
      <c r="L68" s="1" t="str">
        <f>VLOOKUP(B68,תארים[],8,TRUE)</f>
        <v>אוניברסיטת חיפה</v>
      </c>
      <c r="M68" s="1">
        <f>VLOOKUP(B68,תארים[],9,TRUE)</f>
        <v>0</v>
      </c>
      <c r="N68" s="1">
        <f>VLOOKUP(B68,תארים[],4,TRUE)</f>
        <v>1</v>
      </c>
      <c r="O68" s="1" t="str">
        <f>VLOOKUP(B68,תארים[],5,TRUE)</f>
        <v>כלכלה</v>
      </c>
      <c r="P68" s="1" t="str">
        <f>VLOOKUP(B68,תארים[],6,TRUE)</f>
        <v>ניהול</v>
      </c>
      <c r="Q68" s="1">
        <f>IF(main[[#This Row],[ממשלה]]="34+",1,"")</f>
        <v>1</v>
      </c>
      <c r="R68" s="1" t="s">
        <v>237</v>
      </c>
    </row>
    <row r="69" spans="1:18" ht="13" x14ac:dyDescent="0.15">
      <c r="A69" s="1">
        <v>55.1</v>
      </c>
      <c r="B69" s="1" t="s">
        <v>104</v>
      </c>
      <c r="C69" s="1" t="s">
        <v>22</v>
      </c>
      <c r="D69" s="1" t="s">
        <v>105</v>
      </c>
      <c r="E69" s="1" t="s">
        <v>34</v>
      </c>
      <c r="F69" s="1" t="s">
        <v>60</v>
      </c>
      <c r="G69" s="1">
        <v>2021</v>
      </c>
      <c r="H69" s="1">
        <v>2022</v>
      </c>
      <c r="I69" s="2">
        <f>main[[#This Row],[שנת סיום]]-main[[#This Row],[שנת התחלה]]</f>
        <v>1</v>
      </c>
      <c r="J69" s="2" t="str">
        <f>CONCATENATE(main[[#This Row],[שנת התחלה]], "-", main[[#This Row],[שנת סיום]])</f>
        <v>2021-2022</v>
      </c>
      <c r="K69" s="1">
        <f>VLOOKUP(B69,תארים[],2,TRUE)</f>
        <v>0</v>
      </c>
      <c r="L69" s="1">
        <f>VLOOKUP(B69,תארים[],8,TRUE)</f>
        <v>0</v>
      </c>
      <c r="M69" s="1">
        <f>VLOOKUP(B69,תארים[],9,TRUE)</f>
        <v>0</v>
      </c>
      <c r="N69" s="1">
        <f>VLOOKUP(B69,תארים[],4,TRUE)</f>
        <v>0</v>
      </c>
      <c r="O69" s="1">
        <f>VLOOKUP(B69,תארים[],5,TRUE)</f>
        <v>0</v>
      </c>
      <c r="P69" s="1">
        <f>VLOOKUP(B69,תארים[],6,TRUE)</f>
        <v>0</v>
      </c>
      <c r="Q69" s="1">
        <f>IF(main[[#This Row],[ממשלה]]="34+",1,"")</f>
        <v>1</v>
      </c>
      <c r="R69" s="1" t="s">
        <v>250</v>
      </c>
    </row>
    <row r="70" spans="1:18" ht="13" hidden="1" x14ac:dyDescent="0.15">
      <c r="A70" s="1">
        <v>40.1</v>
      </c>
      <c r="B70" s="1" t="s">
        <v>79</v>
      </c>
      <c r="C70" s="1">
        <v>32</v>
      </c>
      <c r="D70" s="1" t="s">
        <v>33</v>
      </c>
      <c r="E70" s="1" t="s">
        <v>9</v>
      </c>
      <c r="F70" s="1" t="s">
        <v>35</v>
      </c>
      <c r="G70" s="1">
        <v>2009</v>
      </c>
      <c r="H70" s="1">
        <v>2013</v>
      </c>
      <c r="I70" s="2">
        <f>main[[#This Row],[שנת סיום]]-main[[#This Row],[שנת התחלה]]</f>
        <v>4</v>
      </c>
      <c r="J70" s="2" t="str">
        <f>CONCATENATE(main[[#This Row],[שנת התחלה]], "-", main[[#This Row],[שנת סיום]])</f>
        <v>2009-2013</v>
      </c>
      <c r="K70" s="1" t="e" cm="1">
        <f t="array" ref="K70">vloo</f>
        <v>#NAME?</v>
      </c>
      <c r="L70" s="1" t="str">
        <f>VLOOKUP(B70,תארים[],8,TRUE)</f>
        <v>אוניברסיטת ירושלים</v>
      </c>
      <c r="M70" s="1">
        <f>VLOOKUP(B70,תארים[],9,TRUE)</f>
        <v>0</v>
      </c>
      <c r="N70" s="1">
        <f>VLOOKUP(B70,תארים[],4,TRUE)</f>
        <v>2</v>
      </c>
      <c r="O70" s="1" t="str">
        <f>VLOOKUP(B70,תארים[],5,TRUE)</f>
        <v>פילוסופיה</v>
      </c>
      <c r="P70" s="1" t="str">
        <f>VLOOKUP(B70,תארים[],5,TRUE)</f>
        <v>פילוסופיה</v>
      </c>
      <c r="Q70" s="1" t="str">
        <f>IF(main[[#This Row],[ממשלה]]="34+",1,"")</f>
        <v/>
      </c>
      <c r="R70" s="1"/>
    </row>
    <row r="71" spans="1:18" ht="13" hidden="1" x14ac:dyDescent="0.15">
      <c r="A71" s="1">
        <v>41.1</v>
      </c>
      <c r="B71" s="1" t="s">
        <v>79</v>
      </c>
      <c r="C71" s="1">
        <v>33</v>
      </c>
      <c r="D71" s="1" t="s">
        <v>80</v>
      </c>
      <c r="E71" s="1" t="s">
        <v>17</v>
      </c>
      <c r="F71" s="1" t="s">
        <v>19</v>
      </c>
      <c r="G71" s="1">
        <v>2013</v>
      </c>
      <c r="H71" s="1">
        <v>2015</v>
      </c>
      <c r="I71" s="2">
        <f>main[[#This Row],[שנת סיום]]-main[[#This Row],[שנת התחלה]]</f>
        <v>2</v>
      </c>
      <c r="J71" s="2" t="str">
        <f>CONCATENATE(main[[#This Row],[שנת התחלה]], "-", main[[#This Row],[שנת סיום]])</f>
        <v>2013-2015</v>
      </c>
      <c r="K71" s="1" t="e" cm="1">
        <f t="array" ref="K71">vloo</f>
        <v>#NAME?</v>
      </c>
      <c r="L71" s="1" t="str">
        <f>VLOOKUP(B71,תארים[],8,TRUE)</f>
        <v>אוניברסיטת ירושלים</v>
      </c>
      <c r="M71" s="1">
        <f>VLOOKUP(B71,תארים[],9,TRUE)</f>
        <v>0</v>
      </c>
      <c r="N71" s="1">
        <f>VLOOKUP(B71,תארים[],4,TRUE)</f>
        <v>2</v>
      </c>
      <c r="O71" s="1" t="str">
        <f>VLOOKUP(B71,תארים[],5,TRUE)</f>
        <v>פילוסופיה</v>
      </c>
      <c r="P71" s="1" t="str">
        <f>VLOOKUP(B71,תארים[],5,TRUE)</f>
        <v>פילוסופיה</v>
      </c>
      <c r="Q71" s="1" t="str">
        <f>IF(main[[#This Row],[ממשלה]]="34+",1,"")</f>
        <v/>
      </c>
      <c r="R71" s="1"/>
    </row>
    <row r="72" spans="1:18" ht="13" hidden="1" x14ac:dyDescent="0.15">
      <c r="A72" s="1">
        <v>41.2</v>
      </c>
      <c r="B72" s="1" t="s">
        <v>79</v>
      </c>
      <c r="C72" s="1">
        <v>33</v>
      </c>
      <c r="D72" s="1" t="s">
        <v>81</v>
      </c>
      <c r="E72" s="1" t="s">
        <v>17</v>
      </c>
      <c r="F72" s="1" t="s">
        <v>19</v>
      </c>
      <c r="G72" s="1">
        <v>2013</v>
      </c>
      <c r="H72" s="1">
        <v>2015</v>
      </c>
      <c r="I72" s="2">
        <f>main[[#This Row],[שנת סיום]]-main[[#This Row],[שנת התחלה]]</f>
        <v>2</v>
      </c>
      <c r="J72" s="2" t="str">
        <f>CONCATENATE(main[[#This Row],[שנת התחלה]], "-", main[[#This Row],[שנת סיום]])</f>
        <v>2013-2015</v>
      </c>
      <c r="K72" s="1" t="e" cm="1">
        <f t="array" ref="K72">vloo</f>
        <v>#NAME?</v>
      </c>
      <c r="L72" s="1" t="str">
        <f>VLOOKUP(B72,תארים[],8,TRUE)</f>
        <v>אוניברסיטת ירושלים</v>
      </c>
      <c r="M72" s="1">
        <f>VLOOKUP(B72,תארים[],9,TRUE)</f>
        <v>0</v>
      </c>
      <c r="N72" s="1">
        <f>VLOOKUP(B72,תארים[],4,TRUE)</f>
        <v>2</v>
      </c>
      <c r="O72" s="1" t="str">
        <f>VLOOKUP(B72,תארים[],5,TRUE)</f>
        <v>פילוסופיה</v>
      </c>
      <c r="P72" s="1" t="str">
        <f>VLOOKUP(B72,תארים[],5,TRUE)</f>
        <v>פילוסופיה</v>
      </c>
      <c r="Q72" s="1" t="str">
        <f>IF(main[[#This Row],[ממשלה]]="34+",1,"")</f>
        <v/>
      </c>
      <c r="R72" s="1"/>
    </row>
    <row r="73" spans="1:18" ht="13" hidden="1" x14ac:dyDescent="0.15">
      <c r="A73" s="1">
        <v>41.3</v>
      </c>
      <c r="B73" s="1" t="s">
        <v>79</v>
      </c>
      <c r="C73" s="1">
        <v>33</v>
      </c>
      <c r="D73" s="1" t="s">
        <v>82</v>
      </c>
      <c r="E73" s="1" t="s">
        <v>17</v>
      </c>
      <c r="F73" s="1" t="s">
        <v>16</v>
      </c>
      <c r="G73" s="1">
        <v>2013</v>
      </c>
      <c r="H73" s="1">
        <v>2015</v>
      </c>
      <c r="I73" s="2">
        <f>main[[#This Row],[שנת סיום]]-main[[#This Row],[שנת התחלה]]</f>
        <v>2</v>
      </c>
      <c r="J73" s="2" t="str">
        <f>CONCATENATE(main[[#This Row],[שנת התחלה]], "-", main[[#This Row],[שנת סיום]])</f>
        <v>2013-2015</v>
      </c>
      <c r="K73" s="1" t="e" cm="1">
        <f t="array" ref="K73">vloo</f>
        <v>#NAME?</v>
      </c>
      <c r="L73" s="1" t="str">
        <f>VLOOKUP(B73,תארים[],8,TRUE)</f>
        <v>אוניברסיטת ירושלים</v>
      </c>
      <c r="M73" s="1">
        <f>VLOOKUP(B73,תארים[],9,TRUE)</f>
        <v>0</v>
      </c>
      <c r="N73" s="1">
        <f>VLOOKUP(B73,תארים[],4,TRUE)</f>
        <v>2</v>
      </c>
      <c r="O73" s="1" t="str">
        <f>VLOOKUP(B73,תארים[],5,TRUE)</f>
        <v>פילוסופיה</v>
      </c>
      <c r="P73" s="1" t="str">
        <f>VLOOKUP(B73,תארים[],5,TRUE)</f>
        <v>פילוסופיה</v>
      </c>
      <c r="Q73" s="1" t="str">
        <f>IF(main[[#This Row],[ממשלה]]="34+",1,"")</f>
        <v/>
      </c>
      <c r="R73" s="1"/>
    </row>
    <row r="74" spans="1:18" ht="13" x14ac:dyDescent="0.15">
      <c r="A74" s="1">
        <v>42.1</v>
      </c>
      <c r="B74" s="1" t="s">
        <v>79</v>
      </c>
      <c r="C74" s="1" t="s">
        <v>22</v>
      </c>
      <c r="D74" s="1" t="s">
        <v>83</v>
      </c>
      <c r="E74" s="1" t="s">
        <v>23</v>
      </c>
      <c r="F74" s="1" t="s">
        <v>25</v>
      </c>
      <c r="G74" s="1">
        <v>2015</v>
      </c>
      <c r="H74" s="1">
        <v>2021</v>
      </c>
      <c r="I74" s="2">
        <f>main[[#This Row],[שנת סיום]]-main[[#This Row],[שנת התחלה]]</f>
        <v>6</v>
      </c>
      <c r="J74" s="2" t="str">
        <f>CONCATENATE(main[[#This Row],[שנת התחלה]], "-", main[[#This Row],[שנת סיום]])</f>
        <v>2015-2021</v>
      </c>
      <c r="K74" s="1" t="str">
        <f>VLOOKUP(B74,תארים[],2,TRUE)</f>
        <v>תואר ראשון, תואר שני</v>
      </c>
      <c r="L74" s="1" t="str">
        <f>VLOOKUP(B74,תארים[],8,TRUE)</f>
        <v>אוניברסיטת ירושלים</v>
      </c>
      <c r="M74" s="1">
        <f>VLOOKUP(B74,תארים[],9,TRUE)</f>
        <v>0</v>
      </c>
      <c r="N74" s="1">
        <f>VLOOKUP(B74,תארים[],4,TRUE)</f>
        <v>2</v>
      </c>
      <c r="O74" s="1" t="str">
        <f>VLOOKUP(B74,תארים[],5,TRUE)</f>
        <v>פילוסופיה</v>
      </c>
      <c r="P74" s="1">
        <f>VLOOKUP(B74,תארים[],6,TRUE)</f>
        <v>0</v>
      </c>
      <c r="Q74" s="1">
        <f>IF(main[[#This Row],[ממשלה]]="34+",1,"")</f>
        <v>1</v>
      </c>
      <c r="R74" s="1" t="s">
        <v>251</v>
      </c>
    </row>
    <row r="75" spans="1:18" ht="13" hidden="1" x14ac:dyDescent="0.15">
      <c r="A75" s="1">
        <v>78.099999999999994</v>
      </c>
      <c r="B75" s="1" t="s">
        <v>142</v>
      </c>
      <c r="C75" s="1">
        <v>32</v>
      </c>
      <c r="D75" s="1" t="s">
        <v>124</v>
      </c>
      <c r="E75" s="1" t="s">
        <v>9</v>
      </c>
      <c r="F75" s="1" t="s">
        <v>12</v>
      </c>
      <c r="G75" s="1">
        <v>2009</v>
      </c>
      <c r="H75" s="1">
        <v>2013</v>
      </c>
      <c r="I75" s="2">
        <f>main[[#This Row],[שנת סיום]]-main[[#This Row],[שנת התחלה]]</f>
        <v>4</v>
      </c>
      <c r="J75" s="2" t="str">
        <f>CONCATENATE(main[[#This Row],[שנת התחלה]], "-", main[[#This Row],[שנת סיום]])</f>
        <v>2009-2013</v>
      </c>
      <c r="K75" s="1" t="e" cm="1">
        <f t="array" ref="K75">vloo</f>
        <v>#NAME?</v>
      </c>
      <c r="L75" s="1" t="str">
        <f>VLOOKUP(B75,תארים[],8,TRUE)</f>
        <v>אוניברסיטת ירושלים</v>
      </c>
      <c r="M75" s="1">
        <f>VLOOKUP(B75,תארים[],9,TRUE)</f>
        <v>0</v>
      </c>
      <c r="N75" s="1">
        <f>VLOOKUP(B75,תארים[],4,TRUE)</f>
        <v>2</v>
      </c>
      <c r="O75" s="1" t="str">
        <f>VLOOKUP(B75,תארים[],5,TRUE)</f>
        <v>פילוסופיה</v>
      </c>
      <c r="P75" s="1" t="str">
        <f>VLOOKUP(B75,תארים[],5,TRUE)</f>
        <v>פילוסופיה</v>
      </c>
      <c r="Q75" s="1" t="str">
        <f>IF(main[[#This Row],[ממשלה]]="34+",1,"")</f>
        <v/>
      </c>
      <c r="R75" s="1"/>
    </row>
    <row r="76" spans="1:18" ht="13" hidden="1" x14ac:dyDescent="0.15">
      <c r="A76" s="1">
        <v>86.1</v>
      </c>
      <c r="B76" s="1" t="s">
        <v>153</v>
      </c>
      <c r="C76" s="1">
        <v>33</v>
      </c>
      <c r="D76" s="1" t="s">
        <v>154</v>
      </c>
      <c r="E76" s="1" t="s">
        <v>34</v>
      </c>
      <c r="F76" s="1" t="s">
        <v>12</v>
      </c>
      <c r="G76" s="1">
        <v>2013</v>
      </c>
      <c r="H76" s="1">
        <v>2015</v>
      </c>
      <c r="I76" s="2">
        <f>main[[#This Row],[שנת סיום]]-main[[#This Row],[שנת התחלה]]</f>
        <v>2</v>
      </c>
      <c r="J76" s="2" t="str">
        <f>CONCATENATE(main[[#This Row],[שנת התחלה]], "-", main[[#This Row],[שנת סיום]])</f>
        <v>2013-2015</v>
      </c>
      <c r="K76" s="1" t="e" cm="1">
        <f t="array" ref="K76">vloo</f>
        <v>#NAME?</v>
      </c>
      <c r="L76" s="1" t="str">
        <f>VLOOKUP(B76,תארים[],8,TRUE)</f>
        <v>אוניברסיטת ירושלים</v>
      </c>
      <c r="M76" s="1">
        <f>VLOOKUP(B76,תארים[],9,TRUE)</f>
        <v>0</v>
      </c>
      <c r="N76" s="1">
        <f>VLOOKUP(B76,תארים[],4,TRUE)</f>
        <v>2</v>
      </c>
      <c r="O76" s="1" t="str">
        <f>VLOOKUP(B76,תארים[],5,TRUE)</f>
        <v>פילוסופיה</v>
      </c>
      <c r="P76" s="1" t="str">
        <f>VLOOKUP(B76,תארים[],5,TRUE)</f>
        <v>פילוסופיה</v>
      </c>
      <c r="Q76" s="1" t="str">
        <f>IF(main[[#This Row],[ממשלה]]="34+",1,"")</f>
        <v/>
      </c>
      <c r="R76" s="1"/>
    </row>
    <row r="77" spans="1:18" ht="13" hidden="1" x14ac:dyDescent="0.15">
      <c r="A77" s="1">
        <v>75.099999999999994</v>
      </c>
      <c r="B77" s="1" t="s">
        <v>138</v>
      </c>
      <c r="C77" s="1">
        <v>32</v>
      </c>
      <c r="D77" s="1" t="s">
        <v>39</v>
      </c>
      <c r="E77" s="1" t="s">
        <v>52</v>
      </c>
      <c r="F77" s="1" t="s">
        <v>12</v>
      </c>
      <c r="G77" s="1">
        <v>2009</v>
      </c>
      <c r="H77" s="1">
        <v>2013</v>
      </c>
      <c r="I77" s="2">
        <f>main[[#This Row],[שנת סיום]]-main[[#This Row],[שנת התחלה]]</f>
        <v>4</v>
      </c>
      <c r="J77" s="2" t="str">
        <f>CONCATENATE(main[[#This Row],[שנת התחלה]], "-", main[[#This Row],[שנת סיום]])</f>
        <v>2009-2013</v>
      </c>
      <c r="K77" s="1" t="e" cm="1">
        <f t="array" ref="K77">vloo</f>
        <v>#NAME?</v>
      </c>
      <c r="L77" s="1" t="str">
        <f>VLOOKUP(B77,תארים[],8,TRUE)</f>
        <v>אוניברסיטת ירושלים</v>
      </c>
      <c r="M77" s="1">
        <f>VLOOKUP(B77,תארים[],9,TRUE)</f>
        <v>0</v>
      </c>
      <c r="N77" s="1">
        <f>VLOOKUP(B77,תארים[],4,TRUE)</f>
        <v>2</v>
      </c>
      <c r="O77" s="1" t="str">
        <f>VLOOKUP(B77,תארים[],5,TRUE)</f>
        <v>פילוסופיה</v>
      </c>
      <c r="P77" s="1" t="str">
        <f>VLOOKUP(B77,תארים[],5,TRUE)</f>
        <v>פילוסופיה</v>
      </c>
      <c r="Q77" s="1" t="str">
        <f>IF(main[[#This Row],[ממשלה]]="34+",1,"")</f>
        <v/>
      </c>
      <c r="R77" s="1"/>
    </row>
    <row r="78" spans="1:18" ht="13" hidden="1" x14ac:dyDescent="0.15">
      <c r="A78" s="1">
        <v>76.099999999999994</v>
      </c>
      <c r="B78" s="1" t="s">
        <v>139</v>
      </c>
      <c r="C78" s="1">
        <v>32</v>
      </c>
      <c r="D78" s="1" t="s">
        <v>64</v>
      </c>
      <c r="E78" s="1" t="s">
        <v>9</v>
      </c>
      <c r="F78" s="1" t="s">
        <v>66</v>
      </c>
      <c r="G78" s="1">
        <v>2009</v>
      </c>
      <c r="H78" s="1">
        <v>2013</v>
      </c>
      <c r="I78" s="2">
        <f>main[[#This Row],[שנת סיום]]-main[[#This Row],[שנת התחלה]]</f>
        <v>4</v>
      </c>
      <c r="J78" s="2" t="str">
        <f>CONCATENATE(main[[#This Row],[שנת התחלה]], "-", main[[#This Row],[שנת סיום]])</f>
        <v>2009-2013</v>
      </c>
      <c r="K78" s="1" t="e" cm="1">
        <f t="array" ref="K78">vloo</f>
        <v>#NAME?</v>
      </c>
      <c r="L78" s="1" t="str">
        <f>VLOOKUP(B78,תארים[],8,TRUE)</f>
        <v>אוניברסיטת ירושלים</v>
      </c>
      <c r="M78" s="1">
        <f>VLOOKUP(B78,תארים[],9,TRUE)</f>
        <v>0</v>
      </c>
      <c r="N78" s="1">
        <f>VLOOKUP(B78,תארים[],4,TRUE)</f>
        <v>2</v>
      </c>
      <c r="O78" s="1" t="str">
        <f>VLOOKUP(B78,תארים[],5,TRUE)</f>
        <v>פילוסופיה</v>
      </c>
      <c r="P78" s="1" t="str">
        <f>VLOOKUP(B78,תארים[],5,TRUE)</f>
        <v>פילוסופיה</v>
      </c>
      <c r="Q78" s="1" t="str">
        <f>IF(main[[#This Row],[ממשלה]]="34+",1,"")</f>
        <v/>
      </c>
      <c r="R78" s="1"/>
    </row>
    <row r="79" spans="1:18" ht="13" hidden="1" x14ac:dyDescent="0.15">
      <c r="A79" s="1">
        <v>89.1</v>
      </c>
      <c r="B79" s="1" t="s">
        <v>157</v>
      </c>
      <c r="C79" s="1">
        <v>33</v>
      </c>
      <c r="D79" s="1" t="s">
        <v>131</v>
      </c>
      <c r="E79" s="1" t="s">
        <v>34</v>
      </c>
      <c r="F79" s="1" t="s">
        <v>63</v>
      </c>
      <c r="G79" s="1">
        <v>2013</v>
      </c>
      <c r="H79" s="1">
        <v>2015</v>
      </c>
      <c r="I79" s="2">
        <f>main[[#This Row],[שנת סיום]]-main[[#This Row],[שנת התחלה]]</f>
        <v>2</v>
      </c>
      <c r="J79" s="2" t="str">
        <f>CONCATENATE(main[[#This Row],[שנת התחלה]], "-", main[[#This Row],[שנת סיום]])</f>
        <v>2013-2015</v>
      </c>
      <c r="K79" s="1" t="e" cm="1">
        <f t="array" ref="K79">vloo</f>
        <v>#NAME?</v>
      </c>
      <c r="L79" s="1" t="str">
        <f>VLOOKUP(B79,תארים[],8,TRUE)</f>
        <v>אוניברסיטת ירושלים</v>
      </c>
      <c r="M79" s="1">
        <f>VLOOKUP(B79,תארים[],9,TRUE)</f>
        <v>0</v>
      </c>
      <c r="N79" s="1">
        <f>VLOOKUP(B79,תארים[],4,TRUE)</f>
        <v>2</v>
      </c>
      <c r="O79" s="1" t="str">
        <f>VLOOKUP(B79,תארים[],5,TRUE)</f>
        <v>פילוסופיה</v>
      </c>
      <c r="P79" s="1" t="str">
        <f>VLOOKUP(B79,תארים[],5,TRUE)</f>
        <v>פילוסופיה</v>
      </c>
      <c r="Q79" s="1" t="str">
        <f>IF(main[[#This Row],[ממשלה]]="34+",1,"")</f>
        <v/>
      </c>
      <c r="R79" s="1"/>
    </row>
    <row r="80" spans="1:18" ht="13" hidden="1" x14ac:dyDescent="0.15">
      <c r="A80" s="1">
        <v>68.099999999999994</v>
      </c>
      <c r="B80" s="1" t="s">
        <v>128</v>
      </c>
      <c r="C80" s="1">
        <v>32</v>
      </c>
      <c r="D80" s="1" t="s">
        <v>129</v>
      </c>
      <c r="E80" s="1" t="s">
        <v>117</v>
      </c>
      <c r="F80" s="1" t="s">
        <v>12</v>
      </c>
      <c r="G80" s="1">
        <v>2009</v>
      </c>
      <c r="H80" s="1">
        <v>2013</v>
      </c>
      <c r="I80" s="2">
        <f>main[[#This Row],[שנת סיום]]-main[[#This Row],[שנת התחלה]]</f>
        <v>4</v>
      </c>
      <c r="J80" s="2" t="str">
        <f>CONCATENATE(main[[#This Row],[שנת התחלה]], "-", main[[#This Row],[שנת סיום]])</f>
        <v>2009-2013</v>
      </c>
      <c r="K80" s="1" t="e" cm="1">
        <f t="array" ref="K80">vloo</f>
        <v>#NAME?</v>
      </c>
      <c r="L80" s="1" t="str">
        <f>VLOOKUP(B80,תארים[],8,TRUE)</f>
        <v>אוניברסיטת ירושלים</v>
      </c>
      <c r="M80" s="1">
        <f>VLOOKUP(B80,תארים[],9,TRUE)</f>
        <v>0</v>
      </c>
      <c r="N80" s="1">
        <f>VLOOKUP(B80,תארים[],4,TRUE)</f>
        <v>2</v>
      </c>
      <c r="O80" s="1" t="str">
        <f>VLOOKUP(B80,תארים[],5,TRUE)</f>
        <v>פילוסופיה</v>
      </c>
      <c r="P80" s="1" t="str">
        <f>VLOOKUP(B80,תארים[],5,TRUE)</f>
        <v>פילוסופיה</v>
      </c>
      <c r="Q80" s="1" t="str">
        <f>IF(main[[#This Row],[ממשלה]]="34+",1,"")</f>
        <v/>
      </c>
      <c r="R80" s="1"/>
    </row>
    <row r="81" spans="1:18" ht="13" x14ac:dyDescent="0.15">
      <c r="A81" s="1">
        <v>48.1</v>
      </c>
      <c r="B81" s="1" t="s">
        <v>91</v>
      </c>
      <c r="C81" s="1" t="s">
        <v>22</v>
      </c>
      <c r="D81" s="1" t="s">
        <v>92</v>
      </c>
      <c r="E81" s="1" t="s">
        <v>52</v>
      </c>
      <c r="F81" s="1" t="s">
        <v>35</v>
      </c>
      <c r="G81" s="1">
        <v>2015</v>
      </c>
      <c r="H81" s="1">
        <v>2020</v>
      </c>
      <c r="I81" s="2">
        <f>main[[#This Row],[שנת סיום]]-main[[#This Row],[שנת התחלה]]</f>
        <v>5</v>
      </c>
      <c r="J81" s="2" t="str">
        <f>CONCATENATE(main[[#This Row],[שנת התחלה]], "-", main[[#This Row],[שנת סיום]])</f>
        <v>2015-2020</v>
      </c>
      <c r="K81" s="1">
        <f>VLOOKUP(B81,תארים[],2,TRUE)</f>
        <v>0</v>
      </c>
      <c r="L81" s="1">
        <f>VLOOKUP(B81,תארים[],8,TRUE)</f>
        <v>0</v>
      </c>
      <c r="M81" s="1">
        <f>VLOOKUP(B81,תארים[],9,TRUE)</f>
        <v>0</v>
      </c>
      <c r="N81" s="1">
        <f>VLOOKUP(B81,תארים[],4,TRUE)</f>
        <v>0</v>
      </c>
      <c r="O81" s="1">
        <f>VLOOKUP(B81,תארים[],5,TRUE)</f>
        <v>0</v>
      </c>
      <c r="P81" s="1">
        <f>VLOOKUP(B81,תארים[],6,TRUE)</f>
        <v>0</v>
      </c>
      <c r="Q81" s="1">
        <f>IF(main[[#This Row],[ממשלה]]="34+",1,"")</f>
        <v>1</v>
      </c>
      <c r="R81" s="1" t="s">
        <v>252</v>
      </c>
    </row>
    <row r="82" spans="1:18" ht="13" hidden="1" x14ac:dyDescent="0.15">
      <c r="A82" s="1">
        <v>95.1</v>
      </c>
      <c r="B82" s="1" t="s">
        <v>165</v>
      </c>
      <c r="C82" s="1">
        <v>34</v>
      </c>
      <c r="D82" s="1" t="s">
        <v>134</v>
      </c>
      <c r="E82" s="1" t="s">
        <v>9</v>
      </c>
      <c r="F82" s="1" t="s">
        <v>41</v>
      </c>
      <c r="G82" s="1">
        <v>2015</v>
      </c>
      <c r="H82" s="1">
        <v>2015</v>
      </c>
      <c r="I82" s="2">
        <f>main[[#This Row],[שנת סיום]]-main[[#This Row],[שנת התחלה]]</f>
        <v>0</v>
      </c>
      <c r="J82" s="2" t="str">
        <f>CONCATENATE(main[[#This Row],[שנת התחלה]], "-", main[[#This Row],[שנת סיום]])</f>
        <v>2015-2015</v>
      </c>
      <c r="K82" s="1" t="e" cm="1">
        <f t="array" ref="K82">vloo</f>
        <v>#NAME?</v>
      </c>
      <c r="L82" s="1">
        <f>VLOOKUP(B82,תארים[],8,TRUE)</f>
        <v>0</v>
      </c>
      <c r="M82" s="1">
        <f>VLOOKUP(B82,תארים[],9,TRUE)</f>
        <v>0</v>
      </c>
      <c r="N82" s="1">
        <f>VLOOKUP(B82,תארים[],4,TRUE)</f>
        <v>0</v>
      </c>
      <c r="O82" s="1">
        <f>VLOOKUP(B82,תארים[],5,TRUE)</f>
        <v>0</v>
      </c>
      <c r="P82" s="1">
        <f>VLOOKUP(B82,תארים[],5,TRUE)</f>
        <v>0</v>
      </c>
      <c r="Q82" s="1" t="str">
        <f>IF(main[[#This Row],[ממשלה]]="34+",1,"")</f>
        <v/>
      </c>
      <c r="R82" s="1"/>
    </row>
    <row r="83" spans="1:18" ht="13" hidden="1" x14ac:dyDescent="0.15">
      <c r="A83" s="1">
        <v>95.2</v>
      </c>
      <c r="B83" s="1" t="s">
        <v>165</v>
      </c>
      <c r="C83" s="1">
        <v>34</v>
      </c>
      <c r="D83" s="1" t="s">
        <v>88</v>
      </c>
      <c r="E83" s="1" t="s">
        <v>9</v>
      </c>
      <c r="F83" s="1" t="s">
        <v>60</v>
      </c>
      <c r="G83" s="1">
        <v>2015</v>
      </c>
      <c r="H83" s="1">
        <v>2015</v>
      </c>
      <c r="I83" s="2">
        <f>main[[#This Row],[שנת סיום]]-main[[#This Row],[שנת התחלה]]</f>
        <v>0</v>
      </c>
      <c r="J83" s="2" t="str">
        <f>CONCATENATE(main[[#This Row],[שנת התחלה]], "-", main[[#This Row],[שנת סיום]])</f>
        <v>2015-2015</v>
      </c>
      <c r="K83" s="1" t="e" cm="1">
        <f t="array" ref="K83">vloo</f>
        <v>#NAME?</v>
      </c>
      <c r="L83" s="1">
        <f>VLOOKUP(B83,תארים[],8,TRUE)</f>
        <v>0</v>
      </c>
      <c r="M83" s="1">
        <f>VLOOKUP(B83,תארים[],9,TRUE)</f>
        <v>0</v>
      </c>
      <c r="N83" s="1">
        <f>VLOOKUP(B83,תארים[],4,TRUE)</f>
        <v>0</v>
      </c>
      <c r="O83" s="1">
        <f>VLOOKUP(B83,תארים[],5,TRUE)</f>
        <v>0</v>
      </c>
      <c r="P83" s="1">
        <f>VLOOKUP(B83,תארים[],5,TRUE)</f>
        <v>0</v>
      </c>
      <c r="Q83" s="1" t="str">
        <f>IF(main[[#This Row],[ממשלה]]="34+",1,"")</f>
        <v/>
      </c>
      <c r="R83" s="1"/>
    </row>
    <row r="84" spans="1:18" ht="13" hidden="1" x14ac:dyDescent="0.15">
      <c r="A84" s="1">
        <v>95.3</v>
      </c>
      <c r="B84" s="1" t="s">
        <v>165</v>
      </c>
      <c r="C84" s="1">
        <v>34</v>
      </c>
      <c r="D84" s="1" t="s">
        <v>86</v>
      </c>
      <c r="E84" s="1" t="s">
        <v>9</v>
      </c>
      <c r="F84" s="1" t="s">
        <v>16</v>
      </c>
      <c r="G84" s="1">
        <v>2015</v>
      </c>
      <c r="H84" s="1">
        <v>2015</v>
      </c>
      <c r="I84" s="2">
        <f>main[[#This Row],[שנת סיום]]-main[[#This Row],[שנת התחלה]]</f>
        <v>0</v>
      </c>
      <c r="J84" s="2" t="str">
        <f>CONCATENATE(main[[#This Row],[שנת התחלה]], "-", main[[#This Row],[שנת סיום]])</f>
        <v>2015-2015</v>
      </c>
      <c r="K84" s="1" t="e" cm="1">
        <f t="array" ref="K84">vloo</f>
        <v>#NAME?</v>
      </c>
      <c r="L84" s="1">
        <f>VLOOKUP(B84,תארים[],8,TRUE)</f>
        <v>0</v>
      </c>
      <c r="M84" s="1">
        <f>VLOOKUP(B84,תארים[],9,TRUE)</f>
        <v>0</v>
      </c>
      <c r="N84" s="1">
        <f>VLOOKUP(B84,תארים[],4,TRUE)</f>
        <v>0</v>
      </c>
      <c r="O84" s="1">
        <f>VLOOKUP(B84,תארים[],5,TRUE)</f>
        <v>0</v>
      </c>
      <c r="P84" s="1">
        <f>VLOOKUP(B84,תארים[],5,TRUE)</f>
        <v>0</v>
      </c>
      <c r="Q84" s="1" t="str">
        <f>IF(main[[#This Row],[ממשלה]]="34+",1,"")</f>
        <v/>
      </c>
      <c r="R84" s="1"/>
    </row>
    <row r="85" spans="1:18" ht="13" hidden="1" x14ac:dyDescent="0.15">
      <c r="A85" s="1">
        <v>16.100000000000001</v>
      </c>
      <c r="B85" s="1" t="s">
        <v>46</v>
      </c>
      <c r="C85" s="1">
        <v>32</v>
      </c>
      <c r="D85" s="1" t="s">
        <v>47</v>
      </c>
      <c r="E85" s="1" t="s">
        <v>9</v>
      </c>
      <c r="F85" s="1" t="s">
        <v>25</v>
      </c>
      <c r="G85" s="1">
        <v>2009</v>
      </c>
      <c r="H85" s="1">
        <v>2013</v>
      </c>
      <c r="I85" s="2">
        <f>main[[#This Row],[שנת סיום]]-main[[#This Row],[שנת התחלה]]</f>
        <v>4</v>
      </c>
      <c r="J85" s="2" t="str">
        <f>CONCATENATE(main[[#This Row],[שנת התחלה]], "-", main[[#This Row],[שנת סיום]])</f>
        <v>2009-2013</v>
      </c>
      <c r="K85" s="1" t="e" cm="1">
        <f t="array" ref="K85">vloo</f>
        <v>#NAME?</v>
      </c>
      <c r="L85" s="1">
        <f>VLOOKUP(B85,תארים[],8,TRUE)</f>
        <v>0</v>
      </c>
      <c r="M85" s="1">
        <f>VLOOKUP(B85,תארים[],9,TRUE)</f>
        <v>0</v>
      </c>
      <c r="N85" s="1">
        <f>VLOOKUP(B85,תארים[],4,TRUE)</f>
        <v>0</v>
      </c>
      <c r="O85" s="1">
        <f>VLOOKUP(B85,תארים[],5,TRUE)</f>
        <v>0</v>
      </c>
      <c r="P85" s="1">
        <f>VLOOKUP(B85,תארים[],5,TRUE)</f>
        <v>0</v>
      </c>
      <c r="Q85" s="1" t="str">
        <f>IF(main[[#This Row],[ממשלה]]="34+",1,"")</f>
        <v/>
      </c>
      <c r="R85" s="1"/>
    </row>
    <row r="86" spans="1:18" ht="13" hidden="1" x14ac:dyDescent="0.15">
      <c r="A86" s="1">
        <v>17.100000000000001</v>
      </c>
      <c r="B86" s="1" t="s">
        <v>46</v>
      </c>
      <c r="C86" s="1">
        <v>33</v>
      </c>
      <c r="D86" s="1" t="s">
        <v>48</v>
      </c>
      <c r="E86" s="1" t="s">
        <v>17</v>
      </c>
      <c r="F86" s="1" t="s">
        <v>25</v>
      </c>
      <c r="G86" s="1">
        <v>2013</v>
      </c>
      <c r="H86" s="1">
        <v>2015</v>
      </c>
      <c r="I86" s="2">
        <f>main[[#This Row],[שנת סיום]]-main[[#This Row],[שנת התחלה]]</f>
        <v>2</v>
      </c>
      <c r="J86" s="2" t="str">
        <f>CONCATENATE(main[[#This Row],[שנת התחלה]], "-", main[[#This Row],[שנת סיום]])</f>
        <v>2013-2015</v>
      </c>
      <c r="K86" s="1" t="e" cm="1">
        <f t="array" ref="K86">vloo</f>
        <v>#NAME?</v>
      </c>
      <c r="L86" s="1">
        <f>VLOOKUP(B86,תארים[],8,TRUE)</f>
        <v>0</v>
      </c>
      <c r="M86" s="1">
        <f>VLOOKUP(B86,תארים[],9,TRUE)</f>
        <v>0</v>
      </c>
      <c r="N86" s="1">
        <f>VLOOKUP(B86,תארים[],4,TRUE)</f>
        <v>0</v>
      </c>
      <c r="O86" s="1">
        <f>VLOOKUP(B86,תארים[],5,TRUE)</f>
        <v>0</v>
      </c>
      <c r="P86" s="1">
        <f>VLOOKUP(B86,תארים[],5,TRUE)</f>
        <v>0</v>
      </c>
      <c r="Q86" s="1" t="str">
        <f>IF(main[[#This Row],[ממשלה]]="34+",1,"")</f>
        <v/>
      </c>
      <c r="R86" s="1"/>
    </row>
    <row r="87" spans="1:18" ht="13" x14ac:dyDescent="0.15">
      <c r="A87" s="1">
        <v>18.100000000000001</v>
      </c>
      <c r="B87" s="1" t="s">
        <v>46</v>
      </c>
      <c r="C87" s="1" t="s">
        <v>22</v>
      </c>
      <c r="D87" s="1" t="s">
        <v>49</v>
      </c>
      <c r="E87" s="1" t="s">
        <v>23</v>
      </c>
      <c r="F87" s="1" t="s">
        <v>25</v>
      </c>
      <c r="G87" s="1">
        <v>2015</v>
      </c>
      <c r="H87" s="1">
        <v>2019</v>
      </c>
      <c r="I87" s="2">
        <f>main[[#This Row],[שנת סיום]]-main[[#This Row],[שנת התחלה]]</f>
        <v>4</v>
      </c>
      <c r="J87" s="2" t="str">
        <f>CONCATENATE(main[[#This Row],[שנת התחלה]], "-", main[[#This Row],[שנת סיום]])</f>
        <v>2015-2019</v>
      </c>
      <c r="K87" s="1">
        <f>VLOOKUP(B87,תארים[],2,TRUE)</f>
        <v>0</v>
      </c>
      <c r="L87" s="1">
        <f>VLOOKUP(B87,תארים[],8,TRUE)</f>
        <v>0</v>
      </c>
      <c r="M87" s="1">
        <f>VLOOKUP(B87,תארים[],9,TRUE)</f>
        <v>0</v>
      </c>
      <c r="N87" s="1">
        <f>VLOOKUP(B87,תארים[],4,TRUE)</f>
        <v>0</v>
      </c>
      <c r="O87" s="1">
        <f>VLOOKUP(B87,תארים[],5,TRUE)</f>
        <v>0</v>
      </c>
      <c r="P87" s="1">
        <f>VLOOKUP(B87,תארים[],6,TRUE)</f>
        <v>0</v>
      </c>
      <c r="Q87" s="1">
        <f>IF(main[[#This Row],[ממשלה]]="34+",1,"")</f>
        <v>1</v>
      </c>
      <c r="R87" s="1" t="s">
        <v>238</v>
      </c>
    </row>
    <row r="88" spans="1:18" ht="13" x14ac:dyDescent="0.15">
      <c r="A88" s="1">
        <v>19.100000000000001</v>
      </c>
      <c r="B88" s="1" t="s">
        <v>46</v>
      </c>
      <c r="C88" s="1" t="s">
        <v>22</v>
      </c>
      <c r="D88" s="1" t="s">
        <v>18</v>
      </c>
      <c r="E88" s="1" t="s">
        <v>23</v>
      </c>
      <c r="F88" s="1" t="s">
        <v>19</v>
      </c>
      <c r="G88" s="1">
        <v>2019</v>
      </c>
      <c r="H88" s="1">
        <v>2020</v>
      </c>
      <c r="I88" s="2">
        <f>main[[#This Row],[שנת סיום]]-main[[#This Row],[שנת התחלה]]</f>
        <v>1</v>
      </c>
      <c r="J88" s="2" t="str">
        <f>CONCATENATE(main[[#This Row],[שנת התחלה]], "-", main[[#This Row],[שנת סיום]])</f>
        <v>2019-2020</v>
      </c>
      <c r="K88" s="1">
        <f>VLOOKUP(B88,תארים[],2,TRUE)</f>
        <v>0</v>
      </c>
      <c r="L88" s="1">
        <f>VLOOKUP(B88,תארים[],8,TRUE)</f>
        <v>0</v>
      </c>
      <c r="M88" s="1">
        <f>VLOOKUP(B88,תארים[],9,TRUE)</f>
        <v>0</v>
      </c>
      <c r="N88" s="1">
        <f>VLOOKUP(B88,תארים[],4,TRUE)</f>
        <v>0</v>
      </c>
      <c r="O88" s="1">
        <f>VLOOKUP(B88,תארים[],5,TRUE)</f>
        <v>0</v>
      </c>
      <c r="P88" s="1">
        <f>VLOOKUP(B88,תארים[],6,TRUE)</f>
        <v>0</v>
      </c>
      <c r="Q88" s="1">
        <f>IF(main[[#This Row],[ממשלה]]="34+",1,"")</f>
        <v>1</v>
      </c>
      <c r="R88" s="1" t="s">
        <v>238</v>
      </c>
    </row>
    <row r="89" spans="1:18" ht="13" x14ac:dyDescent="0.15">
      <c r="A89" s="1">
        <v>20.100000000000001</v>
      </c>
      <c r="B89" s="1" t="s">
        <v>46</v>
      </c>
      <c r="C89" s="1" t="s">
        <v>22</v>
      </c>
      <c r="D89" s="1" t="s">
        <v>33</v>
      </c>
      <c r="E89" s="1" t="s">
        <v>23</v>
      </c>
      <c r="F89" s="1" t="s">
        <v>35</v>
      </c>
      <c r="G89" s="1">
        <v>2020</v>
      </c>
      <c r="H89" s="1">
        <v>2021</v>
      </c>
      <c r="I89" s="2">
        <f>main[[#This Row],[שנת סיום]]-main[[#This Row],[שנת התחלה]]</f>
        <v>1</v>
      </c>
      <c r="J89" s="2" t="str">
        <f>CONCATENATE(main[[#This Row],[שנת התחלה]], "-", main[[#This Row],[שנת סיום]])</f>
        <v>2020-2021</v>
      </c>
      <c r="K89" s="1">
        <f>VLOOKUP(B89,תארים[],2,TRUE)</f>
        <v>0</v>
      </c>
      <c r="L89" s="1">
        <f>VLOOKUP(B89,תארים[],8,TRUE)</f>
        <v>0</v>
      </c>
      <c r="M89" s="1">
        <f>VLOOKUP(B89,תארים[],9,TRUE)</f>
        <v>0</v>
      </c>
      <c r="N89" s="1">
        <f>VLOOKUP(B89,תארים[],4,TRUE)</f>
        <v>0</v>
      </c>
      <c r="O89" s="1">
        <f>VLOOKUP(B89,תארים[],5,TRUE)</f>
        <v>0</v>
      </c>
      <c r="P89" s="1">
        <f>VLOOKUP(B89,תארים[],6,TRUE)</f>
        <v>0</v>
      </c>
      <c r="Q89" s="1">
        <f>IF(main[[#This Row],[ממשלה]]="34+",1,"")</f>
        <v>1</v>
      </c>
      <c r="R89" s="1" t="s">
        <v>238</v>
      </c>
    </row>
    <row r="90" spans="1:18" ht="13" x14ac:dyDescent="0.15">
      <c r="A90" s="1">
        <v>54.1</v>
      </c>
      <c r="B90" s="1" t="s">
        <v>102</v>
      </c>
      <c r="C90" s="1" t="s">
        <v>22</v>
      </c>
      <c r="D90" s="1" t="s">
        <v>103</v>
      </c>
      <c r="E90" s="1" t="s">
        <v>65</v>
      </c>
      <c r="F90" s="1" t="s">
        <v>63</v>
      </c>
      <c r="G90" s="1">
        <v>2021</v>
      </c>
      <c r="H90" s="1">
        <v>2022</v>
      </c>
      <c r="I90" s="2">
        <f>main[[#This Row],[שנת סיום]]-main[[#This Row],[שנת התחלה]]</f>
        <v>1</v>
      </c>
      <c r="J90" s="2" t="str">
        <f>CONCATENATE(main[[#This Row],[שנת התחלה]], "-", main[[#This Row],[שנת סיום]])</f>
        <v>2021-2022</v>
      </c>
      <c r="K90" s="1" t="str">
        <f>VLOOKUP(B90,תארים[],2,TRUE)</f>
        <v>תואר ראשון</v>
      </c>
      <c r="L90" s="1" t="str">
        <f>VLOOKUP(B90,תארים[],8,TRUE)</f>
        <v>אוניברסיטת ירושלים</v>
      </c>
      <c r="M90" s="1">
        <f>VLOOKUP(B90,תארים[],9,TRUE)</f>
        <v>0</v>
      </c>
      <c r="N90" s="1">
        <f>VLOOKUP(B90,תארים[],4,TRUE)</f>
        <v>1</v>
      </c>
      <c r="O90" s="1" t="str">
        <f>VLOOKUP(B90,תארים[],5,TRUE)</f>
        <v>מדעי המדינה</v>
      </c>
      <c r="P90" s="1" t="str">
        <f>VLOOKUP(B90,תארים[],6,TRUE)</f>
        <v>ממשל</v>
      </c>
      <c r="Q90" s="1">
        <f>IF(main[[#This Row],[ממשלה]]="34+",1,"")</f>
        <v>1</v>
      </c>
      <c r="R90" s="1" t="s">
        <v>245</v>
      </c>
    </row>
    <row r="91" spans="1:18" ht="13" hidden="1" x14ac:dyDescent="0.15">
      <c r="A91" s="1">
        <v>87.1</v>
      </c>
      <c r="B91" s="1" t="s">
        <v>155</v>
      </c>
      <c r="C91" s="1">
        <v>33</v>
      </c>
      <c r="D91" s="1" t="s">
        <v>129</v>
      </c>
      <c r="E91" s="1" t="s">
        <v>34</v>
      </c>
      <c r="F91" s="1" t="s">
        <v>12</v>
      </c>
      <c r="G91" s="1">
        <v>2013</v>
      </c>
      <c r="H91" s="1">
        <v>2015</v>
      </c>
      <c r="I91" s="2">
        <f>main[[#This Row],[שנת סיום]]-main[[#This Row],[שנת התחלה]]</f>
        <v>2</v>
      </c>
      <c r="J91" s="2" t="str">
        <f>CONCATENATE(main[[#This Row],[שנת התחלה]], "-", main[[#This Row],[שנת סיום]])</f>
        <v>2013-2015</v>
      </c>
      <c r="K91" s="1" t="e" cm="1">
        <f t="array" ref="K91">vloo</f>
        <v>#NAME?</v>
      </c>
      <c r="L91" s="1" t="str">
        <f>VLOOKUP(B91,תארים[],8,TRUE)</f>
        <v>אוניברסיטת ירושלים</v>
      </c>
      <c r="M91" s="1">
        <f>VLOOKUP(B91,תארים[],9,TRUE)</f>
        <v>0</v>
      </c>
      <c r="N91" s="1">
        <f>VLOOKUP(B91,תארים[],4,TRUE)</f>
        <v>1</v>
      </c>
      <c r="O91" s="1" t="str">
        <f>VLOOKUP(B91,תארים[],5,TRUE)</f>
        <v>מדעי המדינה</v>
      </c>
      <c r="P91" s="1" t="str">
        <f>VLOOKUP(B91,תארים[],5,TRUE)</f>
        <v>מדעי המדינה</v>
      </c>
      <c r="Q91" s="1" t="str">
        <f>IF(main[[#This Row],[ממשלה]]="34+",1,"")</f>
        <v/>
      </c>
      <c r="R91" s="1"/>
    </row>
    <row r="92" spans="1:18" ht="13" hidden="1" x14ac:dyDescent="0.15">
      <c r="A92" s="1">
        <v>64.099999999999994</v>
      </c>
      <c r="B92" s="1" t="s">
        <v>121</v>
      </c>
      <c r="C92" s="1">
        <v>32</v>
      </c>
      <c r="D92" s="1" t="s">
        <v>122</v>
      </c>
      <c r="E92" s="1" t="s">
        <v>9</v>
      </c>
      <c r="F92" s="1" t="s">
        <v>12</v>
      </c>
      <c r="G92" s="1">
        <v>2009</v>
      </c>
      <c r="H92" s="1">
        <v>2013</v>
      </c>
      <c r="I92" s="2">
        <f>main[[#This Row],[שנת סיום]]-main[[#This Row],[שנת התחלה]]</f>
        <v>4</v>
      </c>
      <c r="J92" s="2" t="str">
        <f>CONCATENATE(main[[#This Row],[שנת התחלה]], "-", main[[#This Row],[שנת סיום]])</f>
        <v>2009-2013</v>
      </c>
      <c r="K92" s="1" t="e" cm="1">
        <f t="array" ref="K92">vloo</f>
        <v>#NAME?</v>
      </c>
      <c r="L92" s="1" t="str">
        <f>VLOOKUP(B92,תארים[],8,TRUE)</f>
        <v>אוניברסיטת ירושלים</v>
      </c>
      <c r="M92" s="1">
        <f>VLOOKUP(B92,תארים[],9,TRUE)</f>
        <v>0</v>
      </c>
      <c r="N92" s="1">
        <f>VLOOKUP(B92,תארים[],4,TRUE)</f>
        <v>1</v>
      </c>
      <c r="O92" s="1" t="str">
        <f>VLOOKUP(B92,תארים[],5,TRUE)</f>
        <v>מדעי המדינה</v>
      </c>
      <c r="P92" s="1" t="str">
        <f>VLOOKUP(B92,תארים[],5,TRUE)</f>
        <v>מדעי המדינה</v>
      </c>
      <c r="Q92" s="1" t="str">
        <f>IF(main[[#This Row],[ממשלה]]="34+",1,"")</f>
        <v/>
      </c>
      <c r="R92" s="1"/>
    </row>
    <row r="93" spans="1:18" ht="13" x14ac:dyDescent="0.15">
      <c r="A93" s="1">
        <v>37.1</v>
      </c>
      <c r="B93" s="1" t="s">
        <v>77</v>
      </c>
      <c r="C93" s="1" t="s">
        <v>22</v>
      </c>
      <c r="D93" s="1" t="s">
        <v>78</v>
      </c>
      <c r="E93" s="1" t="s">
        <v>23</v>
      </c>
      <c r="F93" s="1" t="s">
        <v>41</v>
      </c>
      <c r="G93" s="1">
        <v>2015</v>
      </c>
      <c r="H93" s="1">
        <v>2020</v>
      </c>
      <c r="I93" s="2">
        <f>main[[#This Row],[שנת סיום]]-main[[#This Row],[שנת התחלה]]</f>
        <v>5</v>
      </c>
      <c r="J93" s="2" t="str">
        <f>CONCATENATE(main[[#This Row],[שנת התחלה]], "-", main[[#This Row],[שנת סיום]])</f>
        <v>2015-2020</v>
      </c>
      <c r="K93" s="1" t="str">
        <f>VLOOKUP(B93,תארים[],2,TRUE)</f>
        <v>תואר ראשון, תואר שני</v>
      </c>
      <c r="L93" s="1" t="str">
        <f>VLOOKUP(B93,תארים[],8,TRUE)</f>
        <v>אקדמית בית ברל</v>
      </c>
      <c r="M93" s="1" t="str">
        <f>VLOOKUP(B93,תארים[],9,TRUE)</f>
        <v xml:space="preserve"> אקדמית אונו</v>
      </c>
      <c r="N93" s="1">
        <f>VLOOKUP(B93,תארים[],4,TRUE)</f>
        <v>2</v>
      </c>
      <c r="O93" s="1" t="str">
        <f>VLOOKUP(B93,תארים[],5,TRUE)</f>
        <v>חינוך בלתי פורמלי</v>
      </c>
      <c r="P93" s="1" t="str">
        <f>VLOOKUP(B93,תארים[],6,TRUE)</f>
        <v>מנהל עסקים</v>
      </c>
      <c r="Q93" s="1">
        <f>IF(main[[#This Row],[ממשלה]]="34+",1,"")</f>
        <v>1</v>
      </c>
      <c r="R93" s="1" t="s">
        <v>253</v>
      </c>
    </row>
    <row r="94" spans="1:18" ht="13" x14ac:dyDescent="0.15">
      <c r="A94" s="1">
        <v>38.1</v>
      </c>
      <c r="B94" s="1" t="s">
        <v>77</v>
      </c>
      <c r="C94" s="1" t="s">
        <v>22</v>
      </c>
      <c r="D94" s="1" t="s">
        <v>75</v>
      </c>
      <c r="E94" s="1" t="s">
        <v>23</v>
      </c>
      <c r="F94" s="1" t="s">
        <v>25</v>
      </c>
      <c r="G94" s="1">
        <v>2020</v>
      </c>
      <c r="H94" s="1">
        <v>2021</v>
      </c>
      <c r="I94" s="2">
        <f>main[[#This Row],[שנת סיום]]-main[[#This Row],[שנת התחלה]]</f>
        <v>1</v>
      </c>
      <c r="J94" s="2" t="str">
        <f>CONCATENATE(main[[#This Row],[שנת התחלה]], "-", main[[#This Row],[שנת סיום]])</f>
        <v>2020-2021</v>
      </c>
      <c r="K94" s="1" t="str">
        <f>VLOOKUP(B94,תארים[],2,TRUE)</f>
        <v>תואר ראשון, תואר שני</v>
      </c>
      <c r="L94" s="1" t="str">
        <f>VLOOKUP(B94,תארים[],8,TRUE)</f>
        <v>אקדמית בית ברל</v>
      </c>
      <c r="M94" s="1" t="str">
        <f>VLOOKUP(B94,תארים[],9,TRUE)</f>
        <v xml:space="preserve"> אקדמית אונו</v>
      </c>
      <c r="N94" s="1">
        <f>VLOOKUP(B94,תארים[],4,TRUE)</f>
        <v>2</v>
      </c>
      <c r="O94" s="1" t="str">
        <f>VLOOKUP(B94,תארים[],5,TRUE)</f>
        <v>חינוך בלתי פורמלי</v>
      </c>
      <c r="P94" s="1" t="str">
        <f>VLOOKUP(B94,תארים[],6,TRUE)</f>
        <v>מנהל עסקים</v>
      </c>
      <c r="Q94" s="1">
        <f>IF(main[[#This Row],[ממשלה]]="34+",1,"")</f>
        <v>1</v>
      </c>
      <c r="R94" s="1" t="s">
        <v>253</v>
      </c>
    </row>
    <row r="95" spans="1:18" ht="13" x14ac:dyDescent="0.15">
      <c r="A95" s="1">
        <v>39.1</v>
      </c>
      <c r="B95" s="1" t="s">
        <v>77</v>
      </c>
      <c r="C95" s="1" t="s">
        <v>22</v>
      </c>
      <c r="D95" s="1" t="s">
        <v>75</v>
      </c>
      <c r="E95" s="1" t="s">
        <v>23</v>
      </c>
      <c r="F95" s="1" t="s">
        <v>25</v>
      </c>
      <c r="G95" s="1">
        <v>2022</v>
      </c>
      <c r="H95" s="1">
        <v>2025</v>
      </c>
      <c r="I95" s="2">
        <f>main[[#This Row],[שנת סיום]]-main[[#This Row],[שנת התחלה]]</f>
        <v>3</v>
      </c>
      <c r="J95" s="2" t="str">
        <f>CONCATENATE(main[[#This Row],[שנת התחלה]], "-", main[[#This Row],[שנת סיום]])</f>
        <v>2022-2025</v>
      </c>
      <c r="K95" s="1" t="str">
        <f>VLOOKUP(B95,תארים[],2,TRUE)</f>
        <v>תואר ראשון, תואר שני</v>
      </c>
      <c r="L95" s="1" t="str">
        <f>VLOOKUP(B95,תארים[],8,TRUE)</f>
        <v>אקדמית בית ברל</v>
      </c>
      <c r="M95" s="1" t="str">
        <f>VLOOKUP(B95,תארים[],9,TRUE)</f>
        <v xml:space="preserve"> אקדמית אונו</v>
      </c>
      <c r="N95" s="1">
        <f>VLOOKUP(B95,תארים[],4,TRUE)</f>
        <v>2</v>
      </c>
      <c r="O95" s="1" t="str">
        <f>VLOOKUP(B95,תארים[],5,TRUE)</f>
        <v>חינוך בלתי פורמלי</v>
      </c>
      <c r="P95" s="1" t="str">
        <f>VLOOKUP(B95,תארים[],6,TRUE)</f>
        <v>מנהל עסקים</v>
      </c>
      <c r="Q95" s="1">
        <f>IF(main[[#This Row],[ממשלה]]="34+",1,"")</f>
        <v>1</v>
      </c>
      <c r="R95" s="1" t="s">
        <v>253</v>
      </c>
    </row>
    <row r="96" spans="1:18" ht="13" x14ac:dyDescent="0.15">
      <c r="A96" s="1">
        <v>36.1</v>
      </c>
      <c r="B96" s="1" t="s">
        <v>74</v>
      </c>
      <c r="C96" s="1" t="s">
        <v>22</v>
      </c>
      <c r="D96" s="1" t="s">
        <v>75</v>
      </c>
      <c r="E96" s="1" t="s">
        <v>76</v>
      </c>
      <c r="F96" s="1" t="s">
        <v>25</v>
      </c>
      <c r="G96" s="1">
        <v>2021</v>
      </c>
      <c r="H96" s="1">
        <v>2022</v>
      </c>
      <c r="I96" s="2">
        <f>main[[#This Row],[שנת סיום]]-main[[#This Row],[שנת התחלה]]</f>
        <v>1</v>
      </c>
      <c r="J96" s="2" t="str">
        <f>CONCATENATE(main[[#This Row],[שנת התחלה]], "-", main[[#This Row],[שנת סיום]])</f>
        <v>2021-2022</v>
      </c>
      <c r="K96" s="1">
        <f>VLOOKUP(B96,תארים[],2,TRUE)</f>
        <v>0</v>
      </c>
      <c r="L96" s="1">
        <f>VLOOKUP(B96,תארים[],8,TRUE)</f>
        <v>0</v>
      </c>
      <c r="M96" s="1">
        <f>VLOOKUP(B96,תארים[],9,TRUE)</f>
        <v>0</v>
      </c>
      <c r="N96" s="1">
        <f>VLOOKUP(B96,תארים[],4,TRUE)</f>
        <v>0</v>
      </c>
      <c r="O96" s="1">
        <f>VLOOKUP(B96,תארים[],5,TRUE)</f>
        <v>0</v>
      </c>
      <c r="P96" s="1">
        <f>VLOOKUP(B96,תארים[],6,TRUE)</f>
        <v>0</v>
      </c>
      <c r="Q96" s="1">
        <f>IF(main[[#This Row],[ממשלה]]="34+",1,"")</f>
        <v>1</v>
      </c>
      <c r="R96" s="1" t="s">
        <v>254</v>
      </c>
    </row>
    <row r="97" spans="1:18" ht="13" hidden="1" x14ac:dyDescent="0.15">
      <c r="A97" s="1">
        <v>32.1</v>
      </c>
      <c r="B97" s="1" t="s">
        <v>70</v>
      </c>
      <c r="C97" s="1">
        <v>32</v>
      </c>
      <c r="D97" s="1" t="s">
        <v>24</v>
      </c>
      <c r="E97" s="1" t="s">
        <v>9</v>
      </c>
      <c r="F97" s="1" t="s">
        <v>25</v>
      </c>
      <c r="G97" s="1">
        <v>2009</v>
      </c>
      <c r="H97" s="1">
        <v>2013</v>
      </c>
      <c r="I97" s="2">
        <f>main[[#This Row],[שנת סיום]]-main[[#This Row],[שנת התחלה]]</f>
        <v>4</v>
      </c>
      <c r="J97" s="2" t="str">
        <f>CONCATENATE(main[[#This Row],[שנת התחלה]], "-", main[[#This Row],[שנת סיום]])</f>
        <v>2009-2013</v>
      </c>
      <c r="K97" s="1" t="e" cm="1">
        <f t="array" ref="K97">vloo</f>
        <v>#NAME?</v>
      </c>
      <c r="L97" s="1" t="str">
        <f>VLOOKUP(B97,תארים[],8,TRUE)</f>
        <v>אוניברסיטת חיפה</v>
      </c>
      <c r="M97" s="1" t="str">
        <f>VLOOKUP(B97,תארים[],9,TRUE)</f>
        <v xml:space="preserve"> מכללת נתניה</v>
      </c>
      <c r="N97" s="1">
        <f>VLOOKUP(B97,תארים[],4,TRUE)</f>
        <v>1</v>
      </c>
      <c r="O97" s="1" t="str">
        <f>VLOOKUP(B97,תארים[],5,TRUE)</f>
        <v>משפטים</v>
      </c>
      <c r="P97" s="1" t="str">
        <f>VLOOKUP(B97,תארים[],5,TRUE)</f>
        <v>משפטים</v>
      </c>
      <c r="Q97" s="1" t="str">
        <f>IF(main[[#This Row],[ממשלה]]="34+",1,"")</f>
        <v/>
      </c>
      <c r="R97" s="1"/>
    </row>
    <row r="98" spans="1:18" ht="13" x14ac:dyDescent="0.15">
      <c r="A98" s="1">
        <v>33.1</v>
      </c>
      <c r="B98" s="1" t="s">
        <v>70</v>
      </c>
      <c r="C98" s="1" t="s">
        <v>22</v>
      </c>
      <c r="D98" s="1" t="s">
        <v>33</v>
      </c>
      <c r="E98" s="1" t="s">
        <v>69</v>
      </c>
      <c r="F98" s="1" t="s">
        <v>35</v>
      </c>
      <c r="G98" s="1">
        <v>2015</v>
      </c>
      <c r="H98" s="1">
        <v>2020</v>
      </c>
      <c r="I98" s="2">
        <f>main[[#This Row],[שנת סיום]]-main[[#This Row],[שנת התחלה]]</f>
        <v>5</v>
      </c>
      <c r="J98" s="2" t="str">
        <f>CONCATENATE(main[[#This Row],[שנת התחלה]], "-", main[[#This Row],[שנת סיום]])</f>
        <v>2015-2020</v>
      </c>
      <c r="K98" s="1" t="str">
        <f>VLOOKUP(B98,תארים[],2,TRUE)</f>
        <v>תואר ראשון</v>
      </c>
      <c r="L98" s="1" t="str">
        <f>VLOOKUP(B98,תארים[],8,TRUE)</f>
        <v>אוניברסיטת חיפה</v>
      </c>
      <c r="M98" s="1" t="str">
        <f>VLOOKUP(B98,תארים[],9,TRUE)</f>
        <v xml:space="preserve"> מכללת נתניה</v>
      </c>
      <c r="N98" s="1">
        <f>VLOOKUP(B98,תארים[],4,TRUE)</f>
        <v>1</v>
      </c>
      <c r="O98" s="1" t="str">
        <f>VLOOKUP(B98,תארים[],5,TRUE)</f>
        <v>משפטים</v>
      </c>
      <c r="P98" s="1" t="str">
        <f>VLOOKUP(B98,תארים[],6,TRUE)</f>
        <v>ניהול</v>
      </c>
      <c r="Q98" s="1">
        <f>IF(main[[#This Row],[ממשלה]]="34+",1,"")</f>
        <v>1</v>
      </c>
      <c r="R98" s="1" t="s">
        <v>255</v>
      </c>
    </row>
    <row r="99" spans="1:18" ht="13" hidden="1" x14ac:dyDescent="0.15">
      <c r="A99" s="1">
        <v>77.099999999999994</v>
      </c>
      <c r="B99" s="1" t="s">
        <v>140</v>
      </c>
      <c r="C99" s="1">
        <v>32</v>
      </c>
      <c r="D99" s="1" t="s">
        <v>141</v>
      </c>
      <c r="E99" s="1" t="s">
        <v>52</v>
      </c>
      <c r="F99" s="1" t="s">
        <v>16</v>
      </c>
      <c r="G99" s="1">
        <v>2009</v>
      </c>
      <c r="H99" s="1">
        <v>2013</v>
      </c>
      <c r="I99" s="2">
        <f>main[[#This Row],[שנת סיום]]-main[[#This Row],[שנת התחלה]]</f>
        <v>4</v>
      </c>
      <c r="J99" s="2" t="str">
        <f>CONCATENATE(main[[#This Row],[שנת התחלה]], "-", main[[#This Row],[שנת סיום]])</f>
        <v>2009-2013</v>
      </c>
      <c r="K99" s="1" t="e" cm="1">
        <f t="array" ref="K99">vloo</f>
        <v>#NAME?</v>
      </c>
      <c r="L99" s="1" t="str">
        <f>VLOOKUP(B99,תארים[],8,TRUE)</f>
        <v>אוניברסיטת חיפה</v>
      </c>
      <c r="M99" s="1" t="str">
        <f>VLOOKUP(B99,תארים[],9,TRUE)</f>
        <v xml:space="preserve"> מכללת נתניה</v>
      </c>
      <c r="N99" s="1">
        <f>VLOOKUP(B99,תארים[],4,TRUE)</f>
        <v>1</v>
      </c>
      <c r="O99" s="1" t="str">
        <f>VLOOKUP(B99,תארים[],5,TRUE)</f>
        <v>משפטים</v>
      </c>
      <c r="P99" s="1" t="str">
        <f>VLOOKUP(B99,תארים[],5,TRUE)</f>
        <v>משפטים</v>
      </c>
      <c r="Q99" s="1" t="str">
        <f>IF(main[[#This Row],[ממשלה]]="34+",1,"")</f>
        <v/>
      </c>
      <c r="R99" s="1"/>
    </row>
    <row r="100" spans="1:18" ht="13" hidden="1" x14ac:dyDescent="0.15">
      <c r="A100" s="1">
        <v>81.099999999999994</v>
      </c>
      <c r="B100" s="1" t="s">
        <v>146</v>
      </c>
      <c r="C100" s="1">
        <v>32</v>
      </c>
      <c r="D100" s="1" t="s">
        <v>124</v>
      </c>
      <c r="E100" s="1" t="s">
        <v>117</v>
      </c>
      <c r="F100" s="1" t="s">
        <v>12</v>
      </c>
      <c r="G100" s="1">
        <v>2009</v>
      </c>
      <c r="H100" s="1">
        <v>2013</v>
      </c>
      <c r="I100" s="2">
        <f>main[[#This Row],[שנת סיום]]-main[[#This Row],[שנת התחלה]]</f>
        <v>4</v>
      </c>
      <c r="J100" s="2" t="str">
        <f>CONCATENATE(main[[#This Row],[שנת התחלה]], "-", main[[#This Row],[שנת סיום]])</f>
        <v>2009-2013</v>
      </c>
      <c r="K100" s="1" t="e" cm="1">
        <f t="array" ref="K100">vloo</f>
        <v>#NAME?</v>
      </c>
      <c r="L100" s="1" t="str">
        <f>VLOOKUP(B100,תארים[],8,TRUE)</f>
        <v>אוניברסיטת חיפה</v>
      </c>
      <c r="M100" s="1" t="str">
        <f>VLOOKUP(B100,תארים[],9,TRUE)</f>
        <v xml:space="preserve"> מכללת נתניה</v>
      </c>
      <c r="N100" s="1">
        <f>VLOOKUP(B100,תארים[],4,TRUE)</f>
        <v>1</v>
      </c>
      <c r="O100" s="1" t="str">
        <f>VLOOKUP(B100,תארים[],5,TRUE)</f>
        <v>משפטים</v>
      </c>
      <c r="P100" s="1" t="str">
        <f>VLOOKUP(B100,תארים[],5,TRUE)</f>
        <v>משפטים</v>
      </c>
      <c r="Q100" s="1" t="str">
        <f>IF(main[[#This Row],[ממשלה]]="34+",1,"")</f>
        <v/>
      </c>
      <c r="R100" s="1"/>
    </row>
    <row r="101" spans="1:18" ht="13" hidden="1" x14ac:dyDescent="0.15">
      <c r="A101" s="1">
        <v>10.1</v>
      </c>
      <c r="B101" s="1" t="s">
        <v>36</v>
      </c>
      <c r="C101" s="1">
        <v>33</v>
      </c>
      <c r="D101" s="1" t="s">
        <v>37</v>
      </c>
      <c r="E101" s="1" t="s">
        <v>38</v>
      </c>
      <c r="F101" s="1" t="s">
        <v>35</v>
      </c>
      <c r="G101" s="1">
        <v>2013</v>
      </c>
      <c r="H101" s="1">
        <v>2015</v>
      </c>
      <c r="I101" s="2">
        <f>main[[#This Row],[שנת סיום]]-main[[#This Row],[שנת התחלה]]</f>
        <v>2</v>
      </c>
      <c r="J101" s="2" t="str">
        <f>CONCATENATE(main[[#This Row],[שנת התחלה]], "-", main[[#This Row],[שנת סיום]])</f>
        <v>2013-2015</v>
      </c>
      <c r="K101" s="1" t="e" cm="1">
        <f t="array" ref="K101">vloo</f>
        <v>#NAME?</v>
      </c>
      <c r="L101" s="1" t="str">
        <f>VLOOKUP(B101,תארים[],8,TRUE)</f>
        <v>אוניברסיטת ירושלים</v>
      </c>
      <c r="M101" s="1">
        <f>VLOOKUP(B101,תארים[],9,TRUE)</f>
        <v>0</v>
      </c>
      <c r="N101" s="1">
        <f>VLOOKUP(B101,תארים[],4,TRUE)</f>
        <v>1</v>
      </c>
      <c r="O101" s="1" t="str">
        <f>VLOOKUP(B101,תארים[],5,TRUE)</f>
        <v>משפטים</v>
      </c>
      <c r="P101" s="1" t="str">
        <f>VLOOKUP(B101,תארים[],5,TRUE)</f>
        <v>משפטים</v>
      </c>
      <c r="Q101" s="1" t="str">
        <f>IF(main[[#This Row],[ממשלה]]="34+",1,"")</f>
        <v/>
      </c>
      <c r="R101" s="1"/>
    </row>
    <row r="102" spans="1:18" ht="13" hidden="1" x14ac:dyDescent="0.15">
      <c r="A102" s="1">
        <v>10.199999999999999</v>
      </c>
      <c r="B102" s="1" t="s">
        <v>36</v>
      </c>
      <c r="C102" s="1">
        <v>33</v>
      </c>
      <c r="D102" s="1" t="s">
        <v>39</v>
      </c>
      <c r="E102" s="1" t="s">
        <v>38</v>
      </c>
      <c r="F102" s="1" t="s">
        <v>12</v>
      </c>
      <c r="G102" s="1">
        <v>2013</v>
      </c>
      <c r="H102" s="1">
        <v>2015</v>
      </c>
      <c r="I102" s="2">
        <f>main[[#This Row],[שנת סיום]]-main[[#This Row],[שנת התחלה]]</f>
        <v>2</v>
      </c>
      <c r="J102" s="2" t="str">
        <f>CONCATENATE(main[[#This Row],[שנת התחלה]], "-", main[[#This Row],[שנת סיום]])</f>
        <v>2013-2015</v>
      </c>
      <c r="K102" s="1" t="e" cm="1">
        <f t="array" ref="K102">vloo</f>
        <v>#NAME?</v>
      </c>
      <c r="L102" s="1" t="str">
        <f>VLOOKUP(B102,תארים[],8,TRUE)</f>
        <v>אוניברסיטת ירושלים</v>
      </c>
      <c r="M102" s="1">
        <f>VLOOKUP(B102,תארים[],9,TRUE)</f>
        <v>0</v>
      </c>
      <c r="N102" s="1">
        <f>VLOOKUP(B102,תארים[],4,TRUE)</f>
        <v>1</v>
      </c>
      <c r="O102" s="1" t="str">
        <f>VLOOKUP(B102,תארים[],5,TRUE)</f>
        <v>משפטים</v>
      </c>
      <c r="P102" s="1" t="str">
        <f>VLOOKUP(B102,תארים[],5,TRUE)</f>
        <v>משפטים</v>
      </c>
      <c r="Q102" s="1" t="str">
        <f>IF(main[[#This Row],[ממשלה]]="34+",1,"")</f>
        <v/>
      </c>
      <c r="R102" s="1"/>
    </row>
    <row r="103" spans="1:18" ht="13" hidden="1" x14ac:dyDescent="0.15">
      <c r="A103" s="1">
        <v>10.3</v>
      </c>
      <c r="B103" s="1" t="s">
        <v>36</v>
      </c>
      <c r="C103" s="1">
        <v>33</v>
      </c>
      <c r="D103" s="1" t="s">
        <v>40</v>
      </c>
      <c r="E103" s="1" t="s">
        <v>38</v>
      </c>
      <c r="F103" s="1" t="s">
        <v>41</v>
      </c>
      <c r="G103" s="1">
        <v>2013</v>
      </c>
      <c r="H103" s="1">
        <v>2015</v>
      </c>
      <c r="I103" s="2">
        <f>main[[#This Row],[שנת סיום]]-main[[#This Row],[שנת התחלה]]</f>
        <v>2</v>
      </c>
      <c r="J103" s="2" t="str">
        <f>CONCATENATE(main[[#This Row],[שנת התחלה]], "-", main[[#This Row],[שנת סיום]])</f>
        <v>2013-2015</v>
      </c>
      <c r="K103" s="1" t="e" cm="1">
        <f t="array" ref="K103">vloo</f>
        <v>#NAME?</v>
      </c>
      <c r="L103" s="1" t="str">
        <f>VLOOKUP(B103,תארים[],8,TRUE)</f>
        <v>אוניברסיטת ירושלים</v>
      </c>
      <c r="M103" s="1">
        <f>VLOOKUP(B103,תארים[],9,TRUE)</f>
        <v>0</v>
      </c>
      <c r="N103" s="1">
        <f>VLOOKUP(B103,תארים[],4,TRUE)</f>
        <v>1</v>
      </c>
      <c r="O103" s="1" t="str">
        <f>VLOOKUP(B103,תארים[],5,TRUE)</f>
        <v>משפטים</v>
      </c>
      <c r="P103" s="1" t="str">
        <f>VLOOKUP(B103,תארים[],5,TRUE)</f>
        <v>משפטים</v>
      </c>
      <c r="Q103" s="1" t="str">
        <f>IF(main[[#This Row],[ממשלה]]="34+",1,"")</f>
        <v/>
      </c>
      <c r="R103" s="1"/>
    </row>
    <row r="104" spans="1:18" ht="13" x14ac:dyDescent="0.15">
      <c r="A104" s="1">
        <v>11.1</v>
      </c>
      <c r="B104" s="1" t="s">
        <v>36</v>
      </c>
      <c r="C104" s="1" t="s">
        <v>22</v>
      </c>
      <c r="D104" s="1" t="s">
        <v>28</v>
      </c>
      <c r="E104" s="1" t="s">
        <v>42</v>
      </c>
      <c r="F104" s="1" t="s">
        <v>30</v>
      </c>
      <c r="G104" s="1">
        <v>2019</v>
      </c>
      <c r="H104" s="1">
        <v>2020</v>
      </c>
      <c r="I104" s="2">
        <f>main[[#This Row],[שנת סיום]]-main[[#This Row],[שנת התחלה]]</f>
        <v>1</v>
      </c>
      <c r="J104" s="2" t="str">
        <f>CONCATENATE(main[[#This Row],[שנת התחלה]], "-", main[[#This Row],[שנת סיום]])</f>
        <v>2019-2020</v>
      </c>
      <c r="K104" s="1" t="str">
        <f>VLOOKUP(B104,תארים[],2,TRUE)</f>
        <v>תואר ראשון</v>
      </c>
      <c r="L104" s="1" t="str">
        <f>VLOOKUP(B104,תארים[],8,TRUE)</f>
        <v>אוניברסיטת ירושלים</v>
      </c>
      <c r="M104" s="1">
        <f>VLOOKUP(B104,תארים[],9,TRUE)</f>
        <v>0</v>
      </c>
      <c r="N104" s="1">
        <f>VLOOKUP(B104,תארים[],4,TRUE)</f>
        <v>1</v>
      </c>
      <c r="O104" s="1" t="str">
        <f>VLOOKUP(B104,תארים[],5,TRUE)</f>
        <v>משפטים</v>
      </c>
      <c r="P104" s="1" t="str">
        <f>VLOOKUP(B104,תארים[],6,TRUE)</f>
        <v>מנהל עסקים</v>
      </c>
      <c r="Q104" s="1">
        <f>IF(main[[#This Row],[ממשלה]]="34+",1,"")</f>
        <v>1</v>
      </c>
      <c r="R104" s="1" t="s">
        <v>238</v>
      </c>
    </row>
    <row r="105" spans="1:18" ht="13" x14ac:dyDescent="0.15">
      <c r="A105" s="1">
        <v>12.1</v>
      </c>
      <c r="B105" s="1" t="s">
        <v>36</v>
      </c>
      <c r="C105" s="1" t="s">
        <v>22</v>
      </c>
      <c r="D105" s="1" t="s">
        <v>8</v>
      </c>
      <c r="E105" s="1" t="s">
        <v>42</v>
      </c>
      <c r="F105" s="1" t="s">
        <v>10</v>
      </c>
      <c r="G105" s="1">
        <v>2021</v>
      </c>
      <c r="H105" s="1">
        <v>2022</v>
      </c>
      <c r="I105" s="2">
        <f>main[[#This Row],[שנת סיום]]-main[[#This Row],[שנת התחלה]]</f>
        <v>1</v>
      </c>
      <c r="J105" s="2" t="str">
        <f>CONCATENATE(main[[#This Row],[שנת התחלה]], "-", main[[#This Row],[שנת סיום]])</f>
        <v>2021-2022</v>
      </c>
      <c r="K105" s="1" t="str">
        <f>VLOOKUP(B105,תארים[],2,TRUE)</f>
        <v>תואר ראשון</v>
      </c>
      <c r="L105" s="1" t="str">
        <f>VLOOKUP(B105,תארים[],8,TRUE)</f>
        <v>אוניברסיטת ירושלים</v>
      </c>
      <c r="M105" s="1">
        <f>VLOOKUP(B105,תארים[],9,TRUE)</f>
        <v>0</v>
      </c>
      <c r="N105" s="1">
        <f>VLOOKUP(B105,תארים[],4,TRUE)</f>
        <v>1</v>
      </c>
      <c r="O105" s="1" t="str">
        <f>VLOOKUP(B105,תארים[],5,TRUE)</f>
        <v>משפטים</v>
      </c>
      <c r="P105" s="1" t="str">
        <f>VLOOKUP(B105,תארים[],6,TRUE)</f>
        <v>מנהל עסקים</v>
      </c>
      <c r="Q105" s="1">
        <f>IF(main[[#This Row],[ממשלה]]="34+",1,"")</f>
        <v>1</v>
      </c>
      <c r="R105" s="1" t="s">
        <v>238</v>
      </c>
    </row>
    <row r="106" spans="1:18" ht="13" hidden="1" x14ac:dyDescent="0.15">
      <c r="A106" s="1">
        <v>72.099999999999994</v>
      </c>
      <c r="B106" s="1" t="s">
        <v>135</v>
      </c>
      <c r="C106" s="1">
        <v>32</v>
      </c>
      <c r="D106" s="1" t="s">
        <v>136</v>
      </c>
      <c r="E106" s="1" t="s">
        <v>44</v>
      </c>
      <c r="F106" s="1" t="s">
        <v>12</v>
      </c>
      <c r="G106" s="1">
        <v>2009</v>
      </c>
      <c r="H106" s="1">
        <v>2013</v>
      </c>
      <c r="I106" s="2">
        <f>main[[#This Row],[שנת סיום]]-main[[#This Row],[שנת התחלה]]</f>
        <v>4</v>
      </c>
      <c r="J106" s="2" t="str">
        <f>CONCATENATE(main[[#This Row],[שנת התחלה]], "-", main[[#This Row],[שנת סיום]])</f>
        <v>2009-2013</v>
      </c>
      <c r="K106" s="1" t="e" cm="1">
        <f t="array" ref="K106">vloo</f>
        <v>#NAME?</v>
      </c>
      <c r="L106" s="1" t="str">
        <f>VLOOKUP(B106,תארים[],8,TRUE)</f>
        <v>אוניברסיטת ירושלים</v>
      </c>
      <c r="M106" s="1">
        <f>VLOOKUP(B106,תארים[],9,TRUE)</f>
        <v>0</v>
      </c>
      <c r="N106" s="1">
        <f>VLOOKUP(B106,תארים[],4,TRUE)</f>
        <v>1</v>
      </c>
      <c r="O106" s="1" t="str">
        <f>VLOOKUP(B106,תארים[],5,TRUE)</f>
        <v>משפטים</v>
      </c>
      <c r="P106" s="1" t="str">
        <f>VLOOKUP(B106,תארים[],5,TRUE)</f>
        <v>משפטים</v>
      </c>
      <c r="Q106" s="1" t="str">
        <f>IF(main[[#This Row],[ממשלה]]="34+",1,"")</f>
        <v/>
      </c>
      <c r="R106" s="1"/>
    </row>
    <row r="107" spans="1:18" ht="13" hidden="1" x14ac:dyDescent="0.15">
      <c r="A107" s="1">
        <v>73.099999999999994</v>
      </c>
      <c r="B107" s="1" t="s">
        <v>135</v>
      </c>
      <c r="C107" s="1">
        <v>33</v>
      </c>
      <c r="D107" s="1" t="s">
        <v>136</v>
      </c>
      <c r="E107" s="1" t="s">
        <v>44</v>
      </c>
      <c r="F107" s="1" t="s">
        <v>12</v>
      </c>
      <c r="G107" s="1">
        <v>2013</v>
      </c>
      <c r="H107" s="1">
        <v>2015</v>
      </c>
      <c r="I107" s="2">
        <f>main[[#This Row],[שנת סיום]]-main[[#This Row],[שנת התחלה]]</f>
        <v>2</v>
      </c>
      <c r="J107" s="2" t="str">
        <f>CONCATENATE(main[[#This Row],[שנת התחלה]], "-", main[[#This Row],[שנת סיום]])</f>
        <v>2013-2015</v>
      </c>
      <c r="K107" s="1" t="e" cm="1">
        <f t="array" ref="K107">vloo</f>
        <v>#NAME?</v>
      </c>
      <c r="L107" s="1" t="str">
        <f>VLOOKUP(B107,תארים[],8,TRUE)</f>
        <v>אוניברסיטת ירושלים</v>
      </c>
      <c r="M107" s="1">
        <f>VLOOKUP(B107,תארים[],9,TRUE)</f>
        <v>0</v>
      </c>
      <c r="N107" s="1">
        <f>VLOOKUP(B107,תארים[],4,TRUE)</f>
        <v>1</v>
      </c>
      <c r="O107" s="1" t="str">
        <f>VLOOKUP(B107,תארים[],5,TRUE)</f>
        <v>משפטים</v>
      </c>
      <c r="P107" s="1" t="str">
        <f>VLOOKUP(B107,תארים[],5,TRUE)</f>
        <v>משפטים</v>
      </c>
      <c r="Q107" s="1" t="str">
        <f>IF(main[[#This Row],[ממשלה]]="34+",1,"")</f>
        <v/>
      </c>
      <c r="R107" s="1"/>
    </row>
    <row r="108" spans="1:18" ht="13" hidden="1" x14ac:dyDescent="0.15">
      <c r="A108" s="1">
        <v>74.099999999999994</v>
      </c>
      <c r="B108" s="1" t="s">
        <v>137</v>
      </c>
      <c r="C108" s="1">
        <v>32</v>
      </c>
      <c r="D108" s="1" t="s">
        <v>134</v>
      </c>
      <c r="E108" s="1" t="s">
        <v>44</v>
      </c>
      <c r="F108" s="1" t="s">
        <v>41</v>
      </c>
      <c r="G108" s="1">
        <v>2009</v>
      </c>
      <c r="H108" s="1">
        <v>2013</v>
      </c>
      <c r="I108" s="2">
        <f>main[[#This Row],[שנת סיום]]-main[[#This Row],[שנת התחלה]]</f>
        <v>4</v>
      </c>
      <c r="J108" s="2" t="str">
        <f>CONCATENATE(main[[#This Row],[שנת התחלה]], "-", main[[#This Row],[שנת סיום]])</f>
        <v>2009-2013</v>
      </c>
      <c r="K108" s="1" t="e" cm="1">
        <f t="array" ref="K108">vloo</f>
        <v>#NAME?</v>
      </c>
      <c r="L108" s="1" t="str">
        <f>VLOOKUP(B108,תארים[],8,TRUE)</f>
        <v>אוניברסיטת ירושלים</v>
      </c>
      <c r="M108" s="1">
        <f>VLOOKUP(B108,תארים[],9,TRUE)</f>
        <v>0</v>
      </c>
      <c r="N108" s="1">
        <f>VLOOKUP(B108,תארים[],4,TRUE)</f>
        <v>1</v>
      </c>
      <c r="O108" s="1" t="str">
        <f>VLOOKUP(B108,תארים[],5,TRUE)</f>
        <v>משפטים</v>
      </c>
      <c r="P108" s="1" t="str">
        <f>VLOOKUP(B108,תארים[],5,TRUE)</f>
        <v>משפטים</v>
      </c>
      <c r="Q108" s="1" t="str">
        <f>IF(main[[#This Row],[ממשלה]]="34+",1,"")</f>
        <v/>
      </c>
      <c r="R108" s="1"/>
    </row>
    <row r="109" spans="1:18" ht="13" hidden="1" x14ac:dyDescent="0.15">
      <c r="A109" s="1">
        <v>58.1</v>
      </c>
      <c r="B109" s="1" t="s">
        <v>110</v>
      </c>
      <c r="C109" s="1">
        <v>32</v>
      </c>
      <c r="D109" s="1" t="s">
        <v>26</v>
      </c>
      <c r="E109" s="1" t="s">
        <v>9</v>
      </c>
      <c r="F109" s="1" t="s">
        <v>19</v>
      </c>
      <c r="G109" s="1">
        <v>2009</v>
      </c>
      <c r="H109" s="1">
        <v>2013</v>
      </c>
      <c r="I109" s="2">
        <f>main[[#This Row],[שנת סיום]]-main[[#This Row],[שנת התחלה]]</f>
        <v>4</v>
      </c>
      <c r="J109" s="2" t="str">
        <f>CONCATENATE(main[[#This Row],[שנת התחלה]], "-", main[[#This Row],[שנת סיום]])</f>
        <v>2009-2013</v>
      </c>
      <c r="K109" s="1" t="e" cm="1">
        <f t="array" ref="K109">vloo</f>
        <v>#NAME?</v>
      </c>
      <c r="L109" s="1" t="str">
        <f>VLOOKUP(B109,תארים[],8,TRUE)</f>
        <v>אוניברסיטת ירושלים</v>
      </c>
      <c r="M109" s="1">
        <f>VLOOKUP(B109,תארים[],9,TRUE)</f>
        <v>0</v>
      </c>
      <c r="N109" s="1">
        <f>VLOOKUP(B109,תארים[],4,TRUE)</f>
        <v>1</v>
      </c>
      <c r="O109" s="1" t="str">
        <f>VLOOKUP(B109,תארים[],5,TRUE)</f>
        <v>משפטים</v>
      </c>
      <c r="P109" s="1" t="str">
        <f>VLOOKUP(B109,תארים[],5,TRUE)</f>
        <v>משפטים</v>
      </c>
      <c r="Q109" s="1" t="str">
        <f>IF(main[[#This Row],[ממשלה]]="34+",1,"")</f>
        <v/>
      </c>
      <c r="R109" s="1"/>
    </row>
    <row r="110" spans="1:18" ht="13" hidden="1" x14ac:dyDescent="0.15">
      <c r="A110" s="1">
        <v>58.2</v>
      </c>
      <c r="B110" s="1" t="s">
        <v>110</v>
      </c>
      <c r="C110" s="1">
        <v>32</v>
      </c>
      <c r="D110" s="1" t="s">
        <v>53</v>
      </c>
      <c r="E110" s="1" t="s">
        <v>9</v>
      </c>
      <c r="F110" s="1" t="s">
        <v>25</v>
      </c>
      <c r="G110" s="1">
        <v>2009</v>
      </c>
      <c r="H110" s="1">
        <v>2013</v>
      </c>
      <c r="I110" s="2">
        <f>main[[#This Row],[שנת סיום]]-main[[#This Row],[שנת התחלה]]</f>
        <v>4</v>
      </c>
      <c r="J110" s="2" t="str">
        <f>CONCATENATE(main[[#This Row],[שנת התחלה]], "-", main[[#This Row],[שנת סיום]])</f>
        <v>2009-2013</v>
      </c>
      <c r="K110" s="1" t="e" cm="1">
        <f t="array" ref="K110">vloo</f>
        <v>#NAME?</v>
      </c>
      <c r="L110" s="1" t="str">
        <f>VLOOKUP(B110,תארים[],8,TRUE)</f>
        <v>אוניברסיטת ירושלים</v>
      </c>
      <c r="M110" s="1">
        <f>VLOOKUP(B110,תארים[],9,TRUE)</f>
        <v>0</v>
      </c>
      <c r="N110" s="1">
        <f>VLOOKUP(B110,תארים[],4,TRUE)</f>
        <v>1</v>
      </c>
      <c r="O110" s="1" t="str">
        <f>VLOOKUP(B110,תארים[],5,TRUE)</f>
        <v>משפטים</v>
      </c>
      <c r="P110" s="1" t="str">
        <f>VLOOKUP(B110,תארים[],5,TRUE)</f>
        <v>משפטים</v>
      </c>
      <c r="Q110" s="1" t="str">
        <f>IF(main[[#This Row],[ממשלה]]="34+",1,"")</f>
        <v/>
      </c>
      <c r="R110" s="1"/>
    </row>
    <row r="111" spans="1:18" ht="13" hidden="1" x14ac:dyDescent="0.15">
      <c r="A111" s="1">
        <v>58.3</v>
      </c>
      <c r="B111" s="1" t="s">
        <v>110</v>
      </c>
      <c r="C111" s="1">
        <v>32</v>
      </c>
      <c r="D111" s="1" t="s">
        <v>111</v>
      </c>
      <c r="E111" s="1" t="s">
        <v>9</v>
      </c>
      <c r="F111" s="1" t="s">
        <v>16</v>
      </c>
      <c r="G111" s="1">
        <v>2009</v>
      </c>
      <c r="H111" s="1">
        <v>2013</v>
      </c>
      <c r="I111" s="2">
        <f>main[[#This Row],[שנת סיום]]-main[[#This Row],[שנת התחלה]]</f>
        <v>4</v>
      </c>
      <c r="J111" s="2" t="str">
        <f>CONCATENATE(main[[#This Row],[שנת התחלה]], "-", main[[#This Row],[שנת סיום]])</f>
        <v>2009-2013</v>
      </c>
      <c r="K111" s="1" t="e" cm="1">
        <f t="array" ref="K111">vloo</f>
        <v>#NAME?</v>
      </c>
      <c r="L111" s="1" t="str">
        <f>VLOOKUP(B111,תארים[],8,TRUE)</f>
        <v>אוניברסיטת ירושלים</v>
      </c>
      <c r="M111" s="1">
        <f>VLOOKUP(B111,תארים[],9,TRUE)</f>
        <v>0</v>
      </c>
      <c r="N111" s="1">
        <f>VLOOKUP(B111,תארים[],4,TRUE)</f>
        <v>1</v>
      </c>
      <c r="O111" s="1" t="str">
        <f>VLOOKUP(B111,תארים[],5,TRUE)</f>
        <v>משפטים</v>
      </c>
      <c r="P111" s="1" t="str">
        <f>VLOOKUP(B111,תארים[],5,TRUE)</f>
        <v>משפטים</v>
      </c>
      <c r="Q111" s="1" t="str">
        <f>IF(main[[#This Row],[ממשלה]]="34+",1,"")</f>
        <v/>
      </c>
      <c r="R111" s="1"/>
    </row>
    <row r="112" spans="1:18" ht="13" hidden="1" x14ac:dyDescent="0.15">
      <c r="A112" s="1">
        <v>59.1</v>
      </c>
      <c r="B112" s="1" t="s">
        <v>110</v>
      </c>
      <c r="C112" s="1">
        <v>33</v>
      </c>
      <c r="D112" s="1" t="s">
        <v>112</v>
      </c>
      <c r="E112" s="1" t="s">
        <v>17</v>
      </c>
      <c r="F112" s="1" t="s">
        <v>25</v>
      </c>
      <c r="G112" s="1">
        <v>2013</v>
      </c>
      <c r="H112" s="1">
        <v>2015</v>
      </c>
      <c r="I112" s="2">
        <f>main[[#This Row],[שנת סיום]]-main[[#This Row],[שנת התחלה]]</f>
        <v>2</v>
      </c>
      <c r="J112" s="2" t="str">
        <f>CONCATENATE(main[[#This Row],[שנת התחלה]], "-", main[[#This Row],[שנת סיום]])</f>
        <v>2013-2015</v>
      </c>
      <c r="K112" s="1" t="e" cm="1">
        <f t="array" ref="K112">vloo</f>
        <v>#NAME?</v>
      </c>
      <c r="L112" s="1" t="str">
        <f>VLOOKUP(B112,תארים[],8,TRUE)</f>
        <v>אוניברסיטת ירושלים</v>
      </c>
      <c r="M112" s="1">
        <f>VLOOKUP(B112,תארים[],9,TRUE)</f>
        <v>0</v>
      </c>
      <c r="N112" s="1">
        <f>VLOOKUP(B112,תארים[],4,TRUE)</f>
        <v>1</v>
      </c>
      <c r="O112" s="1" t="str">
        <f>VLOOKUP(B112,תארים[],5,TRUE)</f>
        <v>משפטים</v>
      </c>
      <c r="P112" s="1" t="str">
        <f>VLOOKUP(B112,תארים[],5,TRUE)</f>
        <v>משפטים</v>
      </c>
      <c r="Q112" s="1" t="str">
        <f>IF(main[[#This Row],[ממשלה]]="34+",1,"")</f>
        <v/>
      </c>
      <c r="R112" s="1"/>
    </row>
    <row r="113" spans="1:18" ht="13" hidden="1" x14ac:dyDescent="0.15">
      <c r="A113" s="1">
        <v>59.2</v>
      </c>
      <c r="B113" s="1" t="s">
        <v>110</v>
      </c>
      <c r="C113" s="1">
        <v>33</v>
      </c>
      <c r="D113" s="1" t="s">
        <v>53</v>
      </c>
      <c r="E113" s="1" t="s">
        <v>17</v>
      </c>
      <c r="F113" s="1" t="s">
        <v>25</v>
      </c>
      <c r="G113" s="1">
        <v>2013</v>
      </c>
      <c r="H113" s="1">
        <v>2015</v>
      </c>
      <c r="I113" s="2">
        <f>main[[#This Row],[שנת סיום]]-main[[#This Row],[שנת התחלה]]</f>
        <v>2</v>
      </c>
      <c r="J113" s="2" t="str">
        <f>CONCATENATE(main[[#This Row],[שנת התחלה]], "-", main[[#This Row],[שנת סיום]])</f>
        <v>2013-2015</v>
      </c>
      <c r="K113" s="1" t="e" cm="1">
        <f t="array" ref="K113">vloo</f>
        <v>#NAME?</v>
      </c>
      <c r="L113" s="1" t="str">
        <f>VLOOKUP(B113,תארים[],8,TRUE)</f>
        <v>אוניברסיטת ירושלים</v>
      </c>
      <c r="M113" s="1">
        <f>VLOOKUP(B113,תארים[],9,TRUE)</f>
        <v>0</v>
      </c>
      <c r="N113" s="1">
        <f>VLOOKUP(B113,תארים[],4,TRUE)</f>
        <v>1</v>
      </c>
      <c r="O113" s="1" t="str">
        <f>VLOOKUP(B113,תארים[],5,TRUE)</f>
        <v>משפטים</v>
      </c>
      <c r="P113" s="1" t="str">
        <f>VLOOKUP(B113,תארים[],5,TRUE)</f>
        <v>משפטים</v>
      </c>
      <c r="Q113" s="1" t="str">
        <f>IF(main[[#This Row],[ממשלה]]="34+",1,"")</f>
        <v/>
      </c>
      <c r="R113" s="1"/>
    </row>
    <row r="114" spans="1:18" ht="13" hidden="1" x14ac:dyDescent="0.15">
      <c r="A114" s="1">
        <v>59.3</v>
      </c>
      <c r="B114" s="1" t="s">
        <v>110</v>
      </c>
      <c r="C114" s="1">
        <v>33</v>
      </c>
      <c r="D114" s="1" t="s">
        <v>26</v>
      </c>
      <c r="E114" s="1" t="s">
        <v>17</v>
      </c>
      <c r="F114" s="1" t="s">
        <v>19</v>
      </c>
      <c r="G114" s="1">
        <v>2013</v>
      </c>
      <c r="H114" s="1">
        <v>2015</v>
      </c>
      <c r="I114" s="2">
        <f>main[[#This Row],[שנת סיום]]-main[[#This Row],[שנת התחלה]]</f>
        <v>2</v>
      </c>
      <c r="J114" s="2" t="str">
        <f>CONCATENATE(main[[#This Row],[שנת התחלה]], "-", main[[#This Row],[שנת סיום]])</f>
        <v>2013-2015</v>
      </c>
      <c r="K114" s="1" t="e" cm="1">
        <f t="array" ref="K114">vloo</f>
        <v>#NAME?</v>
      </c>
      <c r="L114" s="1" t="str">
        <f>VLOOKUP(B114,תארים[],8,TRUE)</f>
        <v>אוניברסיטת ירושלים</v>
      </c>
      <c r="M114" s="1">
        <f>VLOOKUP(B114,תארים[],9,TRUE)</f>
        <v>0</v>
      </c>
      <c r="N114" s="1">
        <f>VLOOKUP(B114,תארים[],4,TRUE)</f>
        <v>1</v>
      </c>
      <c r="O114" s="1" t="str">
        <f>VLOOKUP(B114,תארים[],5,TRUE)</f>
        <v>משפטים</v>
      </c>
      <c r="P114" s="1" t="str">
        <f>VLOOKUP(B114,תארים[],5,TRUE)</f>
        <v>משפטים</v>
      </c>
      <c r="Q114" s="1" t="str">
        <f>IF(main[[#This Row],[ממשלה]]="34+",1,"")</f>
        <v/>
      </c>
      <c r="R114" s="1"/>
    </row>
    <row r="115" spans="1:18" ht="13" x14ac:dyDescent="0.15">
      <c r="A115" s="1">
        <v>51.1</v>
      </c>
      <c r="B115" s="1" t="s">
        <v>97</v>
      </c>
      <c r="C115" s="1" t="s">
        <v>22</v>
      </c>
      <c r="D115" s="1" t="s">
        <v>98</v>
      </c>
      <c r="E115" s="1" t="s">
        <v>42</v>
      </c>
      <c r="F115" s="1" t="s">
        <v>35</v>
      </c>
      <c r="G115" s="1">
        <v>2021</v>
      </c>
      <c r="H115" s="1">
        <v>2022</v>
      </c>
      <c r="I115" s="2">
        <f>main[[#This Row],[שנת סיום]]-main[[#This Row],[שנת התחלה]]</f>
        <v>1</v>
      </c>
      <c r="J115" s="2" t="str">
        <f>CONCATENATE(main[[#This Row],[שנת התחלה]], "-", main[[#This Row],[שנת סיום]])</f>
        <v>2021-2022</v>
      </c>
      <c r="K115" s="1" t="str">
        <f>VLOOKUP(B115,תארים[],2,TRUE)</f>
        <v>תואר ראשון</v>
      </c>
      <c r="L115" s="1" t="str">
        <f>VLOOKUP(B115,תארים[],8,TRUE)</f>
        <v>אוניברסיטת ירושלים</v>
      </c>
      <c r="M115" s="1">
        <f>VLOOKUP(B115,תארים[],9,TRUE)</f>
        <v>0</v>
      </c>
      <c r="N115" s="1">
        <f>VLOOKUP(B115,תארים[],4,TRUE)</f>
        <v>1</v>
      </c>
      <c r="O115" s="1" t="str">
        <f>VLOOKUP(B115,תארים[],5,TRUE)</f>
        <v>משפטים</v>
      </c>
      <c r="P115" s="1" t="str">
        <f>VLOOKUP(B115,תארים[],6,TRUE)</f>
        <v>מנהל עסקים</v>
      </c>
      <c r="Q115" s="1">
        <f>IF(main[[#This Row],[ממשלה]]="34+",1,"")</f>
        <v>1</v>
      </c>
      <c r="R115" s="1" t="s">
        <v>254</v>
      </c>
    </row>
    <row r="116" spans="1:18" ht="13" hidden="1" x14ac:dyDescent="0.15">
      <c r="A116" s="1">
        <v>70.099999999999994</v>
      </c>
      <c r="B116" s="1" t="s">
        <v>132</v>
      </c>
      <c r="C116" s="1">
        <v>32</v>
      </c>
      <c r="D116" s="1" t="s">
        <v>133</v>
      </c>
      <c r="E116" s="1" t="s">
        <v>44</v>
      </c>
      <c r="F116" s="1" t="s">
        <v>25</v>
      </c>
      <c r="G116" s="1">
        <v>2009</v>
      </c>
      <c r="H116" s="1">
        <v>2013</v>
      </c>
      <c r="I116" s="2">
        <f>main[[#This Row],[שנת סיום]]-main[[#This Row],[שנת התחלה]]</f>
        <v>4</v>
      </c>
      <c r="J116" s="2" t="str">
        <f>CONCATENATE(main[[#This Row],[שנת התחלה]], "-", main[[#This Row],[שנת סיום]])</f>
        <v>2009-2013</v>
      </c>
      <c r="K116" s="1" t="e" cm="1">
        <f t="array" ref="K116">vloo</f>
        <v>#NAME?</v>
      </c>
      <c r="L116" s="1" t="str">
        <f>VLOOKUP(B116,תארים[],8,TRUE)</f>
        <v>אוניברסיטת ירושלים</v>
      </c>
      <c r="M116" s="1">
        <f>VLOOKUP(B116,תארים[],9,TRUE)</f>
        <v>0</v>
      </c>
      <c r="N116" s="1">
        <f>VLOOKUP(B116,תארים[],4,TRUE)</f>
        <v>1</v>
      </c>
      <c r="O116" s="1" t="str">
        <f>VLOOKUP(B116,תארים[],5,TRUE)</f>
        <v>משפטים</v>
      </c>
      <c r="P116" s="1" t="str">
        <f>VLOOKUP(B116,תארים[],5,TRUE)</f>
        <v>משפטים</v>
      </c>
      <c r="Q116" s="1" t="str">
        <f>IF(main[[#This Row],[ממשלה]]="34+",1,"")</f>
        <v/>
      </c>
      <c r="R116" s="1"/>
    </row>
    <row r="117" spans="1:18" ht="13" hidden="1" x14ac:dyDescent="0.15">
      <c r="A117" s="1">
        <v>71.099999999999994</v>
      </c>
      <c r="B117" s="1" t="s">
        <v>132</v>
      </c>
      <c r="C117" s="1">
        <v>33</v>
      </c>
      <c r="D117" s="1" t="s">
        <v>134</v>
      </c>
      <c r="E117" s="1" t="s">
        <v>44</v>
      </c>
      <c r="F117" s="1" t="s">
        <v>41</v>
      </c>
      <c r="G117" s="1">
        <v>2013</v>
      </c>
      <c r="H117" s="1">
        <v>2015</v>
      </c>
      <c r="I117" s="2">
        <f>main[[#This Row],[שנת סיום]]-main[[#This Row],[שנת התחלה]]</f>
        <v>2</v>
      </c>
      <c r="J117" s="2" t="str">
        <f>CONCATENATE(main[[#This Row],[שנת התחלה]], "-", main[[#This Row],[שנת סיום]])</f>
        <v>2013-2015</v>
      </c>
      <c r="K117" s="1" t="e" cm="1">
        <f t="array" ref="K117">vloo</f>
        <v>#NAME?</v>
      </c>
      <c r="L117" s="1" t="str">
        <f>VLOOKUP(B117,תארים[],8,TRUE)</f>
        <v>אוניברסיטת ירושלים</v>
      </c>
      <c r="M117" s="1">
        <f>VLOOKUP(B117,תארים[],9,TRUE)</f>
        <v>0</v>
      </c>
      <c r="N117" s="1">
        <f>VLOOKUP(B117,תארים[],4,TRUE)</f>
        <v>1</v>
      </c>
      <c r="O117" s="1" t="str">
        <f>VLOOKUP(B117,תארים[],5,TRUE)</f>
        <v>משפטים</v>
      </c>
      <c r="P117" s="1" t="str">
        <f>VLOOKUP(B117,תארים[],5,TRUE)</f>
        <v>משפטים</v>
      </c>
      <c r="Q117" s="1" t="str">
        <f>IF(main[[#This Row],[ממשלה]]="34+",1,"")</f>
        <v/>
      </c>
      <c r="R117" s="1"/>
    </row>
    <row r="118" spans="1:18" ht="13" x14ac:dyDescent="0.15">
      <c r="A118" s="1">
        <v>53.1</v>
      </c>
      <c r="B118" s="1" t="s">
        <v>100</v>
      </c>
      <c r="C118" s="1" t="s">
        <v>22</v>
      </c>
      <c r="D118" s="1" t="s">
        <v>101</v>
      </c>
      <c r="E118" s="1" t="s">
        <v>34</v>
      </c>
      <c r="F118" s="1" t="s">
        <v>19</v>
      </c>
      <c r="G118" s="1">
        <v>2021</v>
      </c>
      <c r="H118" s="1">
        <v>2022</v>
      </c>
      <c r="I118" s="2">
        <f>main[[#This Row],[שנת סיום]]-main[[#This Row],[שנת התחלה]]</f>
        <v>1</v>
      </c>
      <c r="J118" s="2" t="str">
        <f>CONCATENATE(main[[#This Row],[שנת התחלה]], "-", main[[#This Row],[שנת סיום]])</f>
        <v>2021-2022</v>
      </c>
      <c r="K118" s="1" t="str">
        <f>VLOOKUP(B118,תארים[],2,TRUE)</f>
        <v>תואר ראשון, תואר שני</v>
      </c>
      <c r="L118" s="1" t="str">
        <f>VLOOKUP(B118,תארים[],8,TRUE)</f>
        <v>אוניברסיטת תל אביב</v>
      </c>
      <c r="M118" s="1">
        <f>VLOOKUP(B118,תארים[],9,TRUE)</f>
        <v>0</v>
      </c>
      <c r="N118" s="1">
        <f>VLOOKUP(B118,תארים[],4,TRUE)</f>
        <v>1</v>
      </c>
      <c r="O118" s="1" t="str">
        <f>VLOOKUP(B118,תארים[],5,TRUE)</f>
        <v>משפטים</v>
      </c>
      <c r="P118" s="1">
        <f>VLOOKUP(B118,תארים[],6,TRUE)</f>
        <v>0</v>
      </c>
      <c r="Q118" s="1">
        <f>IF(main[[#This Row],[ממשלה]]="34+",1,"")</f>
        <v>1</v>
      </c>
      <c r="R118" s="1" t="s">
        <v>244</v>
      </c>
    </row>
    <row r="119" spans="1:18" ht="13" x14ac:dyDescent="0.15">
      <c r="A119" s="1">
        <v>46.1</v>
      </c>
      <c r="B119" s="1" t="s">
        <v>89</v>
      </c>
      <c r="C119" s="1" t="s">
        <v>22</v>
      </c>
      <c r="D119" s="1" t="s">
        <v>88</v>
      </c>
      <c r="E119" s="1" t="s">
        <v>76</v>
      </c>
      <c r="F119" s="1" t="s">
        <v>60</v>
      </c>
      <c r="G119" s="1">
        <v>2021</v>
      </c>
      <c r="H119" s="1">
        <v>2022</v>
      </c>
      <c r="I119" s="2">
        <f>main[[#This Row],[שנת סיום]]-main[[#This Row],[שנת התחלה]]</f>
        <v>1</v>
      </c>
      <c r="J119" s="2" t="str">
        <f>CONCATENATE(main[[#This Row],[שנת התחלה]], "-", main[[#This Row],[שנת סיום]])</f>
        <v>2021-2022</v>
      </c>
      <c r="K119" s="1" t="str">
        <f>VLOOKUP(B119,תארים[],2,TRUE)</f>
        <v>תואר ראשון, תואר שני</v>
      </c>
      <c r="L119" s="1" t="str">
        <f>VLOOKUP(B119,תארים[],8,TRUE)</f>
        <v>אוניברסיטת תל אביב</v>
      </c>
      <c r="M119" s="1">
        <f>VLOOKUP(B119,תארים[],9,TRUE)</f>
        <v>0</v>
      </c>
      <c r="N119" s="1">
        <f>VLOOKUP(B119,תארים[],4,TRUE)</f>
        <v>1</v>
      </c>
      <c r="O119" s="1" t="str">
        <f>VLOOKUP(B119,תארים[],5,TRUE)</f>
        <v>משפטים</v>
      </c>
      <c r="P119" s="1">
        <f>VLOOKUP(B119,תארים[],6,TRUE)</f>
        <v>0</v>
      </c>
      <c r="Q119" s="1">
        <f>IF(main[[#This Row],[ממשלה]]="34+",1,"")</f>
        <v>1</v>
      </c>
      <c r="R119" s="1" t="s">
        <v>256</v>
      </c>
    </row>
    <row r="120" spans="1:18" ht="13" x14ac:dyDescent="0.15">
      <c r="A120" s="1">
        <v>50.1</v>
      </c>
      <c r="B120" s="1" t="s">
        <v>95</v>
      </c>
      <c r="C120" s="1" t="s">
        <v>22</v>
      </c>
      <c r="D120" s="1" t="s">
        <v>96</v>
      </c>
      <c r="E120" s="1" t="s">
        <v>23</v>
      </c>
      <c r="F120" s="1" t="s">
        <v>19</v>
      </c>
      <c r="G120" s="1">
        <v>2015</v>
      </c>
      <c r="H120" s="1">
        <v>2020</v>
      </c>
      <c r="I120" s="2">
        <f>main[[#This Row],[שנת סיום]]-main[[#This Row],[שנת התחלה]]</f>
        <v>5</v>
      </c>
      <c r="J120" s="2" t="str">
        <f>CONCATENATE(main[[#This Row],[שנת התחלה]], "-", main[[#This Row],[שנת סיום]])</f>
        <v>2015-2020</v>
      </c>
      <c r="K120" s="1" t="str">
        <f>VLOOKUP(B120,תארים[],2,TRUE)</f>
        <v>תואר ראשון, תואר שני</v>
      </c>
      <c r="L120" s="1" t="str">
        <f>VLOOKUP(B120,תארים[],8,TRUE)</f>
        <v>אוניברסיטת בר-אילן</v>
      </c>
      <c r="M120" s="1">
        <f>VLOOKUP(B120,תארים[],9,TRUE)</f>
        <v>0</v>
      </c>
      <c r="N120" s="1">
        <f>VLOOKUP(B120,תארים[],4,TRUE)</f>
        <v>2</v>
      </c>
      <c r="O120" s="1" t="str">
        <f>VLOOKUP(B120,תארים[],5,TRUE)</f>
        <v>משפטים</v>
      </c>
      <c r="P120" s="1">
        <f>VLOOKUP(B120,תארים[],6,TRUE)</f>
        <v>0</v>
      </c>
      <c r="Q120" s="1">
        <f>IF(main[[#This Row],[ממשלה]]="34+",1,"")</f>
        <v>1</v>
      </c>
      <c r="R120" s="1" t="s">
        <v>257</v>
      </c>
    </row>
    <row r="121" spans="1:18" ht="13" hidden="1" x14ac:dyDescent="0.15">
      <c r="A121" s="1">
        <v>90.1</v>
      </c>
      <c r="B121" s="1" t="s">
        <v>158</v>
      </c>
      <c r="C121" s="1">
        <v>33</v>
      </c>
      <c r="D121" s="1" t="s">
        <v>72</v>
      </c>
      <c r="E121" s="1" t="s">
        <v>149</v>
      </c>
      <c r="F121" s="1" t="s">
        <v>66</v>
      </c>
      <c r="G121" s="1">
        <v>2013</v>
      </c>
      <c r="H121" s="1">
        <v>2015</v>
      </c>
      <c r="I121" s="2">
        <f>main[[#This Row],[שנת סיום]]-main[[#This Row],[שנת התחלה]]</f>
        <v>2</v>
      </c>
      <c r="J121" s="2" t="str">
        <f>CONCATENATE(main[[#This Row],[שנת התחלה]], "-", main[[#This Row],[שנת סיום]])</f>
        <v>2013-2015</v>
      </c>
      <c r="K121" s="1" t="e" cm="1">
        <f t="array" ref="K121">vloo</f>
        <v>#NAME?</v>
      </c>
      <c r="L121" s="1" t="str">
        <f>VLOOKUP(B121,תארים[],8,TRUE)</f>
        <v>אוניברסיטת חיפה</v>
      </c>
      <c r="M121" s="1" t="str">
        <f>VLOOKUP(B121,תארים[],9,TRUE)</f>
        <v xml:space="preserve"> אוניברסיטת תל אביב</v>
      </c>
      <c r="N121" s="1">
        <f>VLOOKUP(B121,תארים[],4,TRUE)</f>
        <v>2</v>
      </c>
      <c r="O121" s="1" t="str">
        <f>VLOOKUP(B121,תארים[],5,TRUE)</f>
        <v>מדעי המחשב</v>
      </c>
      <c r="P121" s="1" t="str">
        <f>VLOOKUP(B121,תארים[],5,TRUE)</f>
        <v>מדעי המחשב</v>
      </c>
      <c r="Q121" s="1" t="str">
        <f>IF(main[[#This Row],[ממשלה]]="34+",1,"")</f>
        <v/>
      </c>
      <c r="R121" s="1"/>
    </row>
    <row r="122" spans="1:18" ht="13" hidden="1" x14ac:dyDescent="0.15">
      <c r="A122" s="1">
        <v>82.1</v>
      </c>
      <c r="B122" s="1" t="s">
        <v>147</v>
      </c>
      <c r="C122" s="1">
        <v>32</v>
      </c>
      <c r="D122" s="1" t="s">
        <v>45</v>
      </c>
      <c r="E122" s="1" t="s">
        <v>148</v>
      </c>
      <c r="F122" s="1" t="s">
        <v>16</v>
      </c>
      <c r="G122" s="1">
        <v>2012</v>
      </c>
      <c r="H122" s="1">
        <v>2013</v>
      </c>
      <c r="I122" s="2">
        <f>main[[#This Row],[שנת סיום]]-main[[#This Row],[שנת התחלה]]</f>
        <v>1</v>
      </c>
      <c r="J122" s="2" t="str">
        <f>CONCATENATE(main[[#This Row],[שנת התחלה]], "-", main[[#This Row],[שנת סיום]])</f>
        <v>2012-2013</v>
      </c>
      <c r="K122" s="1" t="e" cm="1">
        <f t="array" ref="K122">vloo</f>
        <v>#NAME?</v>
      </c>
      <c r="L122" s="1" t="str">
        <f>VLOOKUP(B122,תארים[],8,TRUE)</f>
        <v>אוניברסיטת חיפה</v>
      </c>
      <c r="M122" s="1" t="str">
        <f>VLOOKUP(B122,תארים[],9,TRUE)</f>
        <v xml:space="preserve"> אוניברסיטת תל אביב</v>
      </c>
      <c r="N122" s="1">
        <f>VLOOKUP(B122,תארים[],4,TRUE)</f>
        <v>2</v>
      </c>
      <c r="O122" s="1" t="str">
        <f>VLOOKUP(B122,תארים[],5,TRUE)</f>
        <v>מדעי המחשב</v>
      </c>
      <c r="P122" s="1" t="str">
        <f>VLOOKUP(B122,תארים[],5,TRUE)</f>
        <v>מדעי המחשב</v>
      </c>
      <c r="Q122" s="1" t="str">
        <f>IF(main[[#This Row],[ממשלה]]="34+",1,"")</f>
        <v/>
      </c>
      <c r="R122" s="1"/>
    </row>
    <row r="123" spans="1:18" ht="13" hidden="1" x14ac:dyDescent="0.15">
      <c r="A123" s="1">
        <v>88.1</v>
      </c>
      <c r="B123" s="1" t="s">
        <v>156</v>
      </c>
      <c r="C123" s="1">
        <v>33</v>
      </c>
      <c r="D123" s="1" t="s">
        <v>62</v>
      </c>
      <c r="E123" s="1" t="s">
        <v>34</v>
      </c>
      <c r="F123" s="1" t="s">
        <v>63</v>
      </c>
      <c r="G123" s="1">
        <v>2013</v>
      </c>
      <c r="H123" s="1">
        <v>2015</v>
      </c>
      <c r="I123" s="2">
        <f>main[[#This Row],[שנת סיום]]-main[[#This Row],[שנת התחלה]]</f>
        <v>2</v>
      </c>
      <c r="J123" s="2" t="str">
        <f>CONCATENATE(main[[#This Row],[שנת התחלה]], "-", main[[#This Row],[שנת סיום]])</f>
        <v>2013-2015</v>
      </c>
      <c r="K123" s="1" t="e" cm="1">
        <f t="array" ref="K123">vloo</f>
        <v>#NAME?</v>
      </c>
      <c r="L123" s="1" t="str">
        <f>VLOOKUP(B123,תארים[],8,TRUE)</f>
        <v>אוניברסיטת חיפה</v>
      </c>
      <c r="M123" s="1" t="str">
        <f>VLOOKUP(B123,תארים[],9,TRUE)</f>
        <v xml:space="preserve"> אוניברסיטת תל אביב</v>
      </c>
      <c r="N123" s="1">
        <f>VLOOKUP(B123,תארים[],4,TRUE)</f>
        <v>2</v>
      </c>
      <c r="O123" s="1" t="str">
        <f>VLOOKUP(B123,תארים[],5,TRUE)</f>
        <v>מדעי המחשב</v>
      </c>
      <c r="P123" s="1" t="str">
        <f>VLOOKUP(B123,תארים[],5,TRUE)</f>
        <v>מדעי המחשב</v>
      </c>
      <c r="Q123" s="1" t="str">
        <f>IF(main[[#This Row],[ממשלה]]="34+",1,"")</f>
        <v/>
      </c>
      <c r="R123" s="1"/>
    </row>
    <row r="124" spans="1:18" ht="13" hidden="1" x14ac:dyDescent="0.15">
      <c r="A124" s="1">
        <v>79.099999999999994</v>
      </c>
      <c r="B124" s="1" t="s">
        <v>143</v>
      </c>
      <c r="C124" s="1">
        <v>32</v>
      </c>
      <c r="D124" s="1" t="s">
        <v>37</v>
      </c>
      <c r="E124" s="1" t="s">
        <v>117</v>
      </c>
      <c r="F124" s="1" t="s">
        <v>35</v>
      </c>
      <c r="G124" s="1">
        <v>2009</v>
      </c>
      <c r="H124" s="1">
        <v>2013</v>
      </c>
      <c r="I124" s="2">
        <f>main[[#This Row],[שנת סיום]]-main[[#This Row],[שנת התחלה]]</f>
        <v>4</v>
      </c>
      <c r="J124" s="2" t="str">
        <f>CONCATENATE(main[[#This Row],[שנת התחלה]], "-", main[[#This Row],[שנת סיום]])</f>
        <v>2009-2013</v>
      </c>
      <c r="K124" s="1" t="e" cm="1">
        <f t="array" ref="K124">vloo</f>
        <v>#NAME?</v>
      </c>
      <c r="L124" s="1" t="str">
        <f>VLOOKUP(B124,תארים[],8,TRUE)</f>
        <v>אוניברסיטת חיפה</v>
      </c>
      <c r="M124" s="1" t="str">
        <f>VLOOKUP(B124,תארים[],9,TRUE)</f>
        <v xml:space="preserve"> אוניברסיטת תל אביב</v>
      </c>
      <c r="N124" s="1">
        <f>VLOOKUP(B124,תארים[],4,TRUE)</f>
        <v>2</v>
      </c>
      <c r="O124" s="1" t="str">
        <f>VLOOKUP(B124,תארים[],5,TRUE)</f>
        <v>מדעי המחשב</v>
      </c>
      <c r="P124" s="1" t="str">
        <f>VLOOKUP(B124,תארים[],5,TRUE)</f>
        <v>מדעי המחשב</v>
      </c>
      <c r="Q124" s="1" t="str">
        <f>IF(main[[#This Row],[ממשלה]]="34+",1,"")</f>
        <v/>
      </c>
      <c r="R124" s="1"/>
    </row>
    <row r="125" spans="1:18" ht="15.75" customHeight="1" x14ac:dyDescent="0.15">
      <c r="A125" s="1"/>
      <c r="B125" s="1" t="s">
        <v>227</v>
      </c>
      <c r="C125" s="1" t="s">
        <v>22</v>
      </c>
      <c r="D125" s="1"/>
      <c r="E125" s="1" t="s">
        <v>23</v>
      </c>
      <c r="F125" s="1"/>
      <c r="G125" s="1">
        <v>2025</v>
      </c>
      <c r="H125" s="1"/>
      <c r="I125" s="1"/>
      <c r="J125" s="1">
        <v>2025</v>
      </c>
      <c r="K125" s="1" t="s">
        <v>200</v>
      </c>
      <c r="L125" s="1" t="s">
        <v>182</v>
      </c>
      <c r="M125" s="1" t="s">
        <v>181</v>
      </c>
      <c r="N125" s="1">
        <v>2</v>
      </c>
      <c r="O125" s="1" t="s">
        <v>175</v>
      </c>
      <c r="P125" s="1" t="s">
        <v>175</v>
      </c>
      <c r="Q125" s="1">
        <f>IF(main[[#This Row],[ממשלה]]="34+",1,"")</f>
        <v>1</v>
      </c>
      <c r="R125" s="1" t="s">
        <v>241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538E-6323-3540-849D-61ABBE511A93}">
  <dimension ref="A1:C31"/>
  <sheetViews>
    <sheetView rightToLeft="1" workbookViewId="0">
      <selection activeCell="C30" sqref="C30"/>
    </sheetView>
  </sheetViews>
  <sheetFormatPr baseColWidth="10" defaultRowHeight="13" x14ac:dyDescent="0.15"/>
  <cols>
    <col min="1" max="1" width="12" customWidth="1"/>
    <col min="2" max="2" width="12.6640625" customWidth="1"/>
    <col min="3" max="3" width="11.1640625" customWidth="1"/>
  </cols>
  <sheetData>
    <row r="1" spans="1:3" x14ac:dyDescent="0.15">
      <c r="A1" s="5" t="s">
        <v>0</v>
      </c>
      <c r="B1" s="5" t="s">
        <v>258</v>
      </c>
      <c r="C1" s="5" t="s">
        <v>259</v>
      </c>
    </row>
    <row r="2" spans="1:3" x14ac:dyDescent="0.15">
      <c r="A2" s="5" t="s">
        <v>185</v>
      </c>
      <c r="B2" s="6" t="s">
        <v>260</v>
      </c>
      <c r="C2" s="5" t="s">
        <v>261</v>
      </c>
    </row>
    <row r="3" spans="1:3" x14ac:dyDescent="0.15">
      <c r="A3" s="5" t="s">
        <v>43</v>
      </c>
      <c r="B3" s="6" t="s">
        <v>260</v>
      </c>
      <c r="C3" s="5" t="s">
        <v>262</v>
      </c>
    </row>
    <row r="4" spans="1:3" x14ac:dyDescent="0.15">
      <c r="A4" s="5" t="s">
        <v>71</v>
      </c>
      <c r="B4" s="6" t="s">
        <v>263</v>
      </c>
      <c r="C4" s="5" t="s">
        <v>264</v>
      </c>
    </row>
    <row r="5" spans="1:3" x14ac:dyDescent="0.15">
      <c r="A5" s="5" t="s">
        <v>57</v>
      </c>
      <c r="B5" s="6" t="s">
        <v>260</v>
      </c>
      <c r="C5" s="5" t="s">
        <v>265</v>
      </c>
    </row>
    <row r="6" spans="1:3" x14ac:dyDescent="0.15">
      <c r="A6" s="5" t="s">
        <v>99</v>
      </c>
      <c r="B6" s="6" t="s">
        <v>260</v>
      </c>
      <c r="C6" s="5" t="s">
        <v>266</v>
      </c>
    </row>
    <row r="7" spans="1:3" x14ac:dyDescent="0.15">
      <c r="A7" s="5" t="s">
        <v>93</v>
      </c>
      <c r="B7" s="6" t="s">
        <v>260</v>
      </c>
      <c r="C7" s="7" t="s">
        <v>267</v>
      </c>
    </row>
    <row r="8" spans="1:3" x14ac:dyDescent="0.15">
      <c r="A8" s="5" t="s">
        <v>90</v>
      </c>
      <c r="B8" s="6" t="s">
        <v>260</v>
      </c>
      <c r="C8" s="5" t="s">
        <v>268</v>
      </c>
    </row>
    <row r="9" spans="1:3" x14ac:dyDescent="0.15">
      <c r="A9" s="5" t="s">
        <v>50</v>
      </c>
      <c r="B9" s="6" t="s">
        <v>260</v>
      </c>
      <c r="C9" s="5" t="s">
        <v>269</v>
      </c>
    </row>
    <row r="10" spans="1:3" x14ac:dyDescent="0.15">
      <c r="A10" s="5" t="s">
        <v>27</v>
      </c>
      <c r="B10" s="6" t="s">
        <v>260</v>
      </c>
      <c r="C10" s="5" t="s">
        <v>270</v>
      </c>
    </row>
    <row r="11" spans="1:3" x14ac:dyDescent="0.15">
      <c r="A11" s="5" t="s">
        <v>7</v>
      </c>
      <c r="B11" s="6" t="s">
        <v>260</v>
      </c>
      <c r="C11" s="5" t="s">
        <v>271</v>
      </c>
    </row>
    <row r="12" spans="1:3" x14ac:dyDescent="0.15">
      <c r="A12" s="5" t="s">
        <v>55</v>
      </c>
      <c r="B12" s="6" t="s">
        <v>260</v>
      </c>
      <c r="C12" s="5" t="s">
        <v>272</v>
      </c>
    </row>
    <row r="13" spans="1:3" x14ac:dyDescent="0.15">
      <c r="A13" s="5" t="s">
        <v>61</v>
      </c>
      <c r="B13" s="6" t="s">
        <v>260</v>
      </c>
      <c r="C13" s="5" t="s">
        <v>273</v>
      </c>
    </row>
    <row r="14" spans="1:3" x14ac:dyDescent="0.15">
      <c r="A14" s="5" t="s">
        <v>84</v>
      </c>
      <c r="B14" s="6" t="s">
        <v>260</v>
      </c>
      <c r="C14" s="5" t="s">
        <v>274</v>
      </c>
    </row>
    <row r="15" spans="1:3" x14ac:dyDescent="0.15">
      <c r="A15" s="5" t="s">
        <v>106</v>
      </c>
      <c r="B15" s="6" t="s">
        <v>260</v>
      </c>
      <c r="C15" s="5" t="s">
        <v>275</v>
      </c>
    </row>
    <row r="16" spans="1:3" x14ac:dyDescent="0.15">
      <c r="A16" s="5" t="s">
        <v>32</v>
      </c>
      <c r="B16" s="6" t="s">
        <v>260</v>
      </c>
      <c r="C16" s="5" t="s">
        <v>276</v>
      </c>
    </row>
    <row r="17" spans="1:3" x14ac:dyDescent="0.15">
      <c r="A17" s="5" t="s">
        <v>67</v>
      </c>
      <c r="B17" s="6" t="s">
        <v>260</v>
      </c>
      <c r="C17" s="5" t="s">
        <v>277</v>
      </c>
    </row>
    <row r="18" spans="1:3" x14ac:dyDescent="0.15">
      <c r="A18" s="5" t="s">
        <v>104</v>
      </c>
      <c r="B18" s="6" t="s">
        <v>260</v>
      </c>
      <c r="C18" s="5" t="s">
        <v>278</v>
      </c>
    </row>
    <row r="19" spans="1:3" x14ac:dyDescent="0.15">
      <c r="A19" s="5" t="s">
        <v>79</v>
      </c>
      <c r="B19" s="6" t="s">
        <v>260</v>
      </c>
      <c r="C19" s="5" t="s">
        <v>279</v>
      </c>
    </row>
    <row r="20" spans="1:3" x14ac:dyDescent="0.15">
      <c r="A20" s="5" t="s">
        <v>91</v>
      </c>
      <c r="B20" s="6" t="s">
        <v>260</v>
      </c>
      <c r="C20" s="7" t="s">
        <v>267</v>
      </c>
    </row>
    <row r="21" spans="1:3" x14ac:dyDescent="0.15">
      <c r="A21" s="5" t="s">
        <v>46</v>
      </c>
      <c r="B21" s="6" t="s">
        <v>260</v>
      </c>
      <c r="C21" s="5" t="s">
        <v>280</v>
      </c>
    </row>
    <row r="22" spans="1:3" x14ac:dyDescent="0.15">
      <c r="A22" s="5" t="s">
        <v>102</v>
      </c>
      <c r="B22" s="6" t="s">
        <v>260</v>
      </c>
      <c r="C22" s="5" t="s">
        <v>281</v>
      </c>
    </row>
    <row r="23" spans="1:3" x14ac:dyDescent="0.15">
      <c r="A23" s="5" t="s">
        <v>77</v>
      </c>
      <c r="B23" s="6" t="s">
        <v>263</v>
      </c>
      <c r="C23" s="5" t="s">
        <v>282</v>
      </c>
    </row>
    <row r="24" spans="1:3" x14ac:dyDescent="0.15">
      <c r="A24" s="5" t="s">
        <v>74</v>
      </c>
      <c r="B24" s="6" t="s">
        <v>283</v>
      </c>
      <c r="C24" s="5" t="s">
        <v>284</v>
      </c>
    </row>
    <row r="25" spans="1:3" x14ac:dyDescent="0.15">
      <c r="A25" s="5" t="s">
        <v>70</v>
      </c>
      <c r="B25" s="6" t="s">
        <v>260</v>
      </c>
      <c r="C25" s="5" t="s">
        <v>285</v>
      </c>
    </row>
    <row r="26" spans="1:3" x14ac:dyDescent="0.15">
      <c r="A26" s="5" t="s">
        <v>36</v>
      </c>
      <c r="B26" s="6" t="s">
        <v>260</v>
      </c>
      <c r="C26" s="5" t="s">
        <v>286</v>
      </c>
    </row>
    <row r="27" spans="1:3" x14ac:dyDescent="0.15">
      <c r="A27" s="5" t="s">
        <v>97</v>
      </c>
      <c r="B27" s="6" t="s">
        <v>263</v>
      </c>
      <c r="C27" s="5" t="s">
        <v>287</v>
      </c>
    </row>
    <row r="28" spans="1:3" x14ac:dyDescent="0.15">
      <c r="A28" s="5" t="s">
        <v>100</v>
      </c>
      <c r="B28" s="6" t="s">
        <v>288</v>
      </c>
      <c r="C28" s="5" t="s">
        <v>289</v>
      </c>
    </row>
    <row r="29" spans="1:3" x14ac:dyDescent="0.15">
      <c r="A29" s="5" t="s">
        <v>89</v>
      </c>
      <c r="B29" s="6" t="s">
        <v>260</v>
      </c>
      <c r="C29" s="5" t="s">
        <v>290</v>
      </c>
    </row>
    <row r="30" spans="1:3" x14ac:dyDescent="0.15">
      <c r="A30" s="5" t="s">
        <v>95</v>
      </c>
      <c r="B30" s="6" t="s">
        <v>263</v>
      </c>
      <c r="C30" s="5" t="s">
        <v>291</v>
      </c>
    </row>
    <row r="31" spans="1:3" x14ac:dyDescent="0.15">
      <c r="A31" s="5" t="s">
        <v>227</v>
      </c>
      <c r="B31" s="6" t="s">
        <v>292</v>
      </c>
      <c r="C31" s="5" t="s">
        <v>293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C195-B13B-0C45-8679-EF845F034BD7}">
  <dimension ref="A1:J27"/>
  <sheetViews>
    <sheetView rightToLeft="1" workbookViewId="0">
      <selection activeCell="A27" sqref="A27"/>
    </sheetView>
  </sheetViews>
  <sheetFormatPr baseColWidth="10" defaultRowHeight="13" x14ac:dyDescent="0.15"/>
  <cols>
    <col min="1" max="1" width="11.6640625" bestFit="1" customWidth="1"/>
    <col min="2" max="2" width="17.83203125" bestFit="1" customWidth="1"/>
    <col min="3" max="3" width="49.5" bestFit="1" customWidth="1"/>
    <col min="4" max="4" width="12.1640625" bestFit="1" customWidth="1"/>
    <col min="5" max="5" width="12.5" bestFit="1" customWidth="1"/>
    <col min="6" max="6" width="17.5" bestFit="1" customWidth="1"/>
    <col min="7" max="7" width="5.1640625" bestFit="1" customWidth="1"/>
    <col min="8" max="8" width="14.33203125" bestFit="1" customWidth="1"/>
    <col min="9" max="9" width="17.33203125" bestFit="1" customWidth="1"/>
    <col min="10" max="10" width="23" bestFit="1" customWidth="1"/>
  </cols>
  <sheetData>
    <row r="1" spans="1:10" x14ac:dyDescent="0.15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174</v>
      </c>
      <c r="G1" t="s">
        <v>177</v>
      </c>
      <c r="H1" t="s">
        <v>191</v>
      </c>
      <c r="I1" t="s">
        <v>192</v>
      </c>
      <c r="J1" t="s">
        <v>193</v>
      </c>
    </row>
    <row r="2" spans="1:10" x14ac:dyDescent="0.15">
      <c r="A2" t="s">
        <v>185</v>
      </c>
      <c r="D2">
        <v>0</v>
      </c>
      <c r="G2">
        <v>0</v>
      </c>
    </row>
    <row r="3" spans="1:10" x14ac:dyDescent="0.15">
      <c r="A3" t="s">
        <v>43</v>
      </c>
      <c r="B3" t="s">
        <v>178</v>
      </c>
      <c r="C3" t="s">
        <v>194</v>
      </c>
      <c r="D3">
        <v>1</v>
      </c>
      <c r="E3" t="s">
        <v>195</v>
      </c>
      <c r="G3">
        <v>1</v>
      </c>
      <c r="H3" t="s">
        <v>194</v>
      </c>
    </row>
    <row r="4" spans="1:10" x14ac:dyDescent="0.15">
      <c r="A4" t="s">
        <v>71</v>
      </c>
      <c r="B4" t="s">
        <v>196</v>
      </c>
      <c r="C4" t="s">
        <v>181</v>
      </c>
      <c r="D4">
        <v>1</v>
      </c>
      <c r="E4" t="s">
        <v>175</v>
      </c>
      <c r="F4" t="s">
        <v>197</v>
      </c>
      <c r="G4">
        <v>2</v>
      </c>
      <c r="H4" t="s">
        <v>181</v>
      </c>
    </row>
    <row r="5" spans="1:10" x14ac:dyDescent="0.15">
      <c r="A5" t="s">
        <v>57</v>
      </c>
      <c r="B5" t="s">
        <v>184</v>
      </c>
      <c r="C5" t="s">
        <v>198</v>
      </c>
      <c r="D5">
        <v>1</v>
      </c>
      <c r="E5" t="s">
        <v>179</v>
      </c>
      <c r="G5">
        <v>3</v>
      </c>
      <c r="H5" t="s">
        <v>198</v>
      </c>
    </row>
    <row r="6" spans="1:10" x14ac:dyDescent="0.15">
      <c r="A6" t="s">
        <v>99</v>
      </c>
      <c r="B6" t="s">
        <v>178</v>
      </c>
      <c r="C6" t="s">
        <v>199</v>
      </c>
      <c r="D6">
        <v>1</v>
      </c>
      <c r="E6" t="s">
        <v>175</v>
      </c>
      <c r="F6" t="s">
        <v>190</v>
      </c>
      <c r="G6">
        <v>4</v>
      </c>
      <c r="H6" t="s">
        <v>199</v>
      </c>
    </row>
    <row r="7" spans="1:10" x14ac:dyDescent="0.15">
      <c r="A7" t="s">
        <v>93</v>
      </c>
      <c r="B7" t="s">
        <v>200</v>
      </c>
      <c r="C7" t="s">
        <v>201</v>
      </c>
      <c r="D7">
        <v>2</v>
      </c>
      <c r="E7" t="s">
        <v>195</v>
      </c>
      <c r="F7" t="s">
        <v>202</v>
      </c>
      <c r="G7">
        <v>5</v>
      </c>
      <c r="H7" t="s">
        <v>203</v>
      </c>
      <c r="I7" t="s">
        <v>204</v>
      </c>
    </row>
    <row r="8" spans="1:10" x14ac:dyDescent="0.15">
      <c r="A8" t="s">
        <v>90</v>
      </c>
      <c r="B8" t="s">
        <v>200</v>
      </c>
      <c r="C8" t="s">
        <v>205</v>
      </c>
      <c r="D8">
        <v>2</v>
      </c>
      <c r="E8" t="s">
        <v>180</v>
      </c>
      <c r="F8" t="s">
        <v>206</v>
      </c>
      <c r="G8">
        <v>6</v>
      </c>
      <c r="H8" t="s">
        <v>181</v>
      </c>
      <c r="I8" t="s">
        <v>207</v>
      </c>
    </row>
    <row r="9" spans="1:10" x14ac:dyDescent="0.15">
      <c r="A9" t="s">
        <v>50</v>
      </c>
      <c r="D9">
        <v>0</v>
      </c>
      <c r="G9">
        <v>7</v>
      </c>
    </row>
    <row r="10" spans="1:10" x14ac:dyDescent="0.15">
      <c r="A10" t="s">
        <v>27</v>
      </c>
      <c r="B10" t="s">
        <v>200</v>
      </c>
      <c r="C10" t="s">
        <v>208</v>
      </c>
      <c r="D10">
        <v>2</v>
      </c>
      <c r="E10" t="s">
        <v>189</v>
      </c>
      <c r="F10" t="s">
        <v>209</v>
      </c>
      <c r="G10">
        <v>8</v>
      </c>
      <c r="H10" t="s">
        <v>181</v>
      </c>
      <c r="I10" t="s">
        <v>210</v>
      </c>
      <c r="J10" t="s">
        <v>211</v>
      </c>
    </row>
    <row r="11" spans="1:10" x14ac:dyDescent="0.15">
      <c r="A11" t="s">
        <v>7</v>
      </c>
      <c r="B11" t="s">
        <v>200</v>
      </c>
      <c r="C11" t="s">
        <v>212</v>
      </c>
      <c r="D11">
        <v>2</v>
      </c>
      <c r="E11" t="s">
        <v>213</v>
      </c>
      <c r="F11" t="s">
        <v>206</v>
      </c>
      <c r="G11">
        <v>9</v>
      </c>
      <c r="H11" t="s">
        <v>214</v>
      </c>
      <c r="I11" t="s">
        <v>215</v>
      </c>
    </row>
    <row r="12" spans="1:10" x14ac:dyDescent="0.15">
      <c r="A12" t="s">
        <v>55</v>
      </c>
      <c r="B12" t="s">
        <v>178</v>
      </c>
      <c r="C12" t="s">
        <v>198</v>
      </c>
      <c r="D12">
        <v>1</v>
      </c>
      <c r="E12" t="s">
        <v>179</v>
      </c>
      <c r="G12">
        <v>10</v>
      </c>
      <c r="H12" t="s">
        <v>198</v>
      </c>
    </row>
    <row r="13" spans="1:10" x14ac:dyDescent="0.15">
      <c r="A13" t="s">
        <v>61</v>
      </c>
      <c r="B13" t="s">
        <v>178</v>
      </c>
      <c r="C13" t="s">
        <v>181</v>
      </c>
      <c r="D13">
        <v>1</v>
      </c>
      <c r="E13" t="s">
        <v>179</v>
      </c>
      <c r="F13" t="s">
        <v>189</v>
      </c>
      <c r="G13">
        <v>11</v>
      </c>
      <c r="H13" t="s">
        <v>181</v>
      </c>
    </row>
    <row r="14" spans="1:10" x14ac:dyDescent="0.15">
      <c r="A14" t="s">
        <v>106</v>
      </c>
      <c r="B14" t="s">
        <v>200</v>
      </c>
      <c r="C14" t="s">
        <v>216</v>
      </c>
      <c r="D14">
        <v>2</v>
      </c>
      <c r="E14" t="s">
        <v>189</v>
      </c>
      <c r="F14" t="s">
        <v>180</v>
      </c>
      <c r="G14">
        <v>12</v>
      </c>
      <c r="H14" t="s">
        <v>181</v>
      </c>
      <c r="I14" t="s">
        <v>217</v>
      </c>
    </row>
    <row r="15" spans="1:10" x14ac:dyDescent="0.15">
      <c r="A15" t="s">
        <v>32</v>
      </c>
      <c r="B15" t="s">
        <v>218</v>
      </c>
      <c r="C15" t="s">
        <v>219</v>
      </c>
      <c r="D15">
        <v>1</v>
      </c>
      <c r="E15" t="s">
        <v>220</v>
      </c>
      <c r="G15">
        <v>13</v>
      </c>
      <c r="H15" t="s">
        <v>219</v>
      </c>
    </row>
    <row r="16" spans="1:10" x14ac:dyDescent="0.15">
      <c r="A16" t="s">
        <v>67</v>
      </c>
      <c r="B16" t="s">
        <v>178</v>
      </c>
      <c r="C16" t="s">
        <v>182</v>
      </c>
      <c r="D16">
        <v>1</v>
      </c>
      <c r="E16" t="s">
        <v>173</v>
      </c>
      <c r="F16" t="s">
        <v>180</v>
      </c>
      <c r="G16">
        <v>14</v>
      </c>
      <c r="H16" t="s">
        <v>182</v>
      </c>
    </row>
    <row r="17" spans="1:9" x14ac:dyDescent="0.15">
      <c r="A17" t="s">
        <v>186</v>
      </c>
      <c r="D17">
        <v>0</v>
      </c>
      <c r="G17">
        <v>15</v>
      </c>
    </row>
    <row r="18" spans="1:9" x14ac:dyDescent="0.15">
      <c r="A18" t="s">
        <v>79</v>
      </c>
      <c r="B18" t="s">
        <v>200</v>
      </c>
      <c r="C18" t="s">
        <v>194</v>
      </c>
      <c r="D18">
        <v>2</v>
      </c>
      <c r="E18" t="s">
        <v>187</v>
      </c>
      <c r="G18">
        <v>16</v>
      </c>
      <c r="H18" t="s">
        <v>194</v>
      </c>
    </row>
    <row r="19" spans="1:9" x14ac:dyDescent="0.15">
      <c r="A19" t="s">
        <v>91</v>
      </c>
      <c r="D19">
        <v>0</v>
      </c>
      <c r="G19">
        <v>17</v>
      </c>
    </row>
    <row r="20" spans="1:9" x14ac:dyDescent="0.15">
      <c r="A20" t="s">
        <v>188</v>
      </c>
      <c r="B20" t="s">
        <v>178</v>
      </c>
      <c r="C20" t="s">
        <v>194</v>
      </c>
      <c r="D20">
        <v>1</v>
      </c>
      <c r="E20" t="s">
        <v>189</v>
      </c>
      <c r="F20" t="s">
        <v>195</v>
      </c>
      <c r="G20">
        <v>18</v>
      </c>
      <c r="H20" t="s">
        <v>194</v>
      </c>
    </row>
    <row r="21" spans="1:9" x14ac:dyDescent="0.15">
      <c r="A21" t="s">
        <v>77</v>
      </c>
      <c r="B21" t="s">
        <v>200</v>
      </c>
      <c r="C21" t="s">
        <v>221</v>
      </c>
      <c r="D21">
        <v>2</v>
      </c>
      <c r="E21" t="s">
        <v>222</v>
      </c>
      <c r="F21" t="s">
        <v>206</v>
      </c>
      <c r="G21">
        <v>19</v>
      </c>
      <c r="H21" t="s">
        <v>223</v>
      </c>
      <c r="I21" t="s">
        <v>224</v>
      </c>
    </row>
    <row r="22" spans="1:9" x14ac:dyDescent="0.15">
      <c r="A22" t="s">
        <v>74</v>
      </c>
      <c r="D22">
        <v>0</v>
      </c>
      <c r="G22">
        <v>20</v>
      </c>
    </row>
    <row r="23" spans="1:9" x14ac:dyDescent="0.15">
      <c r="A23" t="s">
        <v>70</v>
      </c>
      <c r="B23" t="s">
        <v>178</v>
      </c>
      <c r="C23" t="s">
        <v>225</v>
      </c>
      <c r="D23">
        <v>1</v>
      </c>
      <c r="E23" t="s">
        <v>179</v>
      </c>
      <c r="F23" t="s">
        <v>180</v>
      </c>
      <c r="G23">
        <v>21</v>
      </c>
      <c r="H23" t="s">
        <v>182</v>
      </c>
      <c r="I23" t="s">
        <v>226</v>
      </c>
    </row>
    <row r="24" spans="1:9" x14ac:dyDescent="0.15">
      <c r="A24" t="s">
        <v>36</v>
      </c>
      <c r="B24" t="s">
        <v>178</v>
      </c>
      <c r="C24" t="s">
        <v>194</v>
      </c>
      <c r="D24">
        <v>1</v>
      </c>
      <c r="E24" t="s">
        <v>179</v>
      </c>
      <c r="F24" t="s">
        <v>206</v>
      </c>
      <c r="G24">
        <v>22</v>
      </c>
      <c r="H24" t="s">
        <v>194</v>
      </c>
    </row>
    <row r="25" spans="1:9" x14ac:dyDescent="0.15">
      <c r="A25" t="s">
        <v>100</v>
      </c>
      <c r="B25" t="s">
        <v>200</v>
      </c>
      <c r="C25" t="s">
        <v>181</v>
      </c>
      <c r="D25">
        <v>1</v>
      </c>
      <c r="E25" t="s">
        <v>179</v>
      </c>
      <c r="G25">
        <v>23</v>
      </c>
      <c r="H25" t="s">
        <v>181</v>
      </c>
    </row>
    <row r="26" spans="1:9" x14ac:dyDescent="0.15">
      <c r="A26" t="s">
        <v>95</v>
      </c>
      <c r="B26" t="s">
        <v>200</v>
      </c>
      <c r="C26" t="s">
        <v>183</v>
      </c>
      <c r="D26">
        <v>2</v>
      </c>
      <c r="E26" t="s">
        <v>179</v>
      </c>
      <c r="G26">
        <v>24</v>
      </c>
      <c r="H26" t="s">
        <v>183</v>
      </c>
    </row>
    <row r="27" spans="1:9" x14ac:dyDescent="0.15">
      <c r="A27" s="1" t="s">
        <v>227</v>
      </c>
      <c r="B27" t="s">
        <v>200</v>
      </c>
      <c r="C27" t="s">
        <v>228</v>
      </c>
      <c r="D27">
        <v>2</v>
      </c>
      <c r="E27" t="s">
        <v>175</v>
      </c>
      <c r="G27">
        <v>25</v>
      </c>
      <c r="H27" t="s">
        <v>182</v>
      </c>
      <c r="I27" t="s">
        <v>229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FC15D-BAF6-0045-A3B7-E55C99AA1C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מיין</vt:lpstr>
      <vt:lpstr>צבא</vt:lpstr>
      <vt:lpstr>טבלה1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סהר חיים יעקב</cp:lastModifiedBy>
  <dcterms:modified xsi:type="dcterms:W3CDTF">2025-11-29T10:57:55Z</dcterms:modified>
</cp:coreProperties>
</file>