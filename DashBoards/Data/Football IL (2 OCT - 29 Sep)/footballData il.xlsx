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yqb/Desktop/"/>
    </mc:Choice>
  </mc:AlternateContent>
  <xr:revisionPtr revIDLastSave="0" documentId="13_ncr:1_{6D9D60FB-75E1-8644-A3C7-1345BE741EA4}" xr6:coauthVersionLast="47" xr6:coauthVersionMax="47" xr10:uidLastSave="{00000000-0000-0000-0000-000000000000}"/>
  <bookViews>
    <workbookView xWindow="0" yWindow="680" windowWidth="30240" windowHeight="17660" activeTab="2" xr2:uid="{FBA980C4-F6EB-B648-9DD9-97D43E5A107A}"/>
  </bookViews>
  <sheets>
    <sheet name="compareWonLoseFirstScoreTeam" sheetId="2" r:id="rId1"/>
    <sheet name="totalGoalTeamByPointResult" sheetId="3" r:id="rId2"/>
    <sheet name="original" sheetId="1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 a="1"/>
  <c r="T2" i="1" s="1"/>
  <c r="T3" i="1" a="1"/>
  <c r="T3" i="1" s="1"/>
  <c r="T4" i="1" a="1"/>
  <c r="T4" i="1"/>
  <c r="T5" i="1" a="1"/>
  <c r="T5" i="1"/>
  <c r="T6" i="1" a="1"/>
  <c r="T6" i="1"/>
  <c r="T7" i="1" a="1"/>
  <c r="T7" i="1" s="1"/>
  <c r="T8" i="1" a="1"/>
  <c r="T8" i="1" s="1"/>
  <c r="T9" i="1" a="1"/>
  <c r="T9" i="1" s="1"/>
  <c r="T10" i="1" a="1"/>
  <c r="T10" i="1"/>
  <c r="T11" i="1" a="1"/>
  <c r="T11" i="1"/>
  <c r="T12" i="1" a="1"/>
  <c r="T12" i="1" s="1"/>
  <c r="T13" i="1" a="1"/>
  <c r="T13" i="1" s="1"/>
  <c r="T14" i="1" a="1"/>
  <c r="T14" i="1"/>
  <c r="T15" i="1" a="1"/>
  <c r="T15" i="1"/>
  <c r="T16" i="1" a="1"/>
  <c r="T16" i="1"/>
  <c r="T17" i="1" a="1"/>
  <c r="T17" i="1" s="1"/>
  <c r="T18" i="1" a="1"/>
  <c r="T18" i="1" s="1"/>
  <c r="T19" i="1" a="1"/>
  <c r="T19" i="1"/>
  <c r="T20" i="1" a="1"/>
  <c r="T20" i="1"/>
  <c r="T21" i="1" a="1"/>
  <c r="T21" i="1"/>
  <c r="T22" i="1" a="1"/>
  <c r="T22" i="1" s="1"/>
  <c r="T23" i="1" a="1"/>
  <c r="T23" i="1" s="1"/>
  <c r="T24" i="1" a="1"/>
  <c r="T24" i="1" s="1"/>
  <c r="T25" i="1" a="1"/>
  <c r="T25" i="1"/>
  <c r="T26" i="1" a="1"/>
  <c r="T26" i="1"/>
  <c r="T27" i="1" a="1"/>
  <c r="T27" i="1" s="1"/>
  <c r="T28" i="1" a="1"/>
  <c r="T28" i="1" s="1"/>
  <c r="T29" i="1" a="1"/>
  <c r="T29" i="1" s="1"/>
  <c r="T30" i="1" a="1"/>
  <c r="T30" i="1"/>
  <c r="T31" i="1" a="1"/>
  <c r="T31" i="1"/>
  <c r="T32" i="1" a="1"/>
  <c r="T32" i="1" s="1"/>
  <c r="T33" i="1" a="1"/>
  <c r="T33" i="1" s="1"/>
  <c r="T34" i="1" a="1"/>
  <c r="T34" i="1" s="1"/>
  <c r="T35" i="1" a="1"/>
  <c r="T35" i="1"/>
  <c r="T36" i="1" a="1"/>
  <c r="T36" i="1"/>
  <c r="T37" i="1" a="1"/>
  <c r="T37" i="1" s="1"/>
  <c r="T38" i="1" a="1"/>
  <c r="T38" i="1" s="1"/>
  <c r="T39" i="1" a="1"/>
  <c r="T39" i="1" s="1"/>
  <c r="T40" i="1" a="1"/>
  <c r="T40" i="1"/>
  <c r="T41" i="1" a="1"/>
  <c r="T41" i="1"/>
  <c r="T42" i="1" a="1"/>
  <c r="T42" i="1" s="1"/>
  <c r="T43" i="1" a="1"/>
  <c r="T43" i="1" s="1"/>
  <c r="T44" i="1" a="1"/>
  <c r="T44" i="1" s="1"/>
  <c r="T45" i="1" a="1"/>
  <c r="T45" i="1"/>
  <c r="T46" i="1" a="1"/>
  <c r="T46" i="1"/>
  <c r="T47" i="1" a="1"/>
  <c r="T47" i="1" s="1"/>
  <c r="T48" i="1" a="1"/>
  <c r="T48" i="1" s="1"/>
  <c r="T49" i="1" a="1"/>
  <c r="T49" i="1" s="1"/>
  <c r="T50" i="1" a="1"/>
  <c r="T50" i="1"/>
  <c r="T51" i="1" a="1"/>
  <c r="T51" i="1"/>
  <c r="T52" i="1" a="1"/>
  <c r="T52" i="1" s="1"/>
  <c r="T53" i="1" a="1"/>
  <c r="T53" i="1" s="1"/>
  <c r="T54" i="1" a="1"/>
  <c r="T54" i="1" s="1"/>
  <c r="T55" i="1" a="1"/>
  <c r="T55" i="1"/>
  <c r="T56" i="1" a="1"/>
  <c r="T56" i="1"/>
  <c r="T57" i="1" a="1"/>
  <c r="T57" i="1" s="1"/>
  <c r="T58" i="1" a="1"/>
  <c r="T58" i="1" s="1"/>
  <c r="T59" i="1" a="1"/>
  <c r="T59" i="1" s="1"/>
  <c r="T60" i="1" a="1"/>
  <c r="T60" i="1"/>
  <c r="T61" i="1" a="1"/>
  <c r="T61" i="1"/>
  <c r="T62" i="1" a="1"/>
  <c r="T62" i="1" s="1"/>
  <c r="T63" i="1" a="1"/>
  <c r="T63" i="1" s="1"/>
  <c r="T64" i="1" a="1"/>
  <c r="T64" i="1" s="1"/>
  <c r="T65" i="1" a="1"/>
  <c r="T65" i="1"/>
  <c r="T66" i="1" a="1"/>
  <c r="T66" i="1"/>
  <c r="T67" i="1" a="1"/>
  <c r="T67" i="1" s="1"/>
  <c r="T68" i="1" a="1"/>
  <c r="T68" i="1" s="1"/>
  <c r="T69" i="1" a="1"/>
  <c r="T69" i="1" s="1"/>
  <c r="T70" i="1" a="1"/>
  <c r="T70" i="1"/>
  <c r="T71" i="1" a="1"/>
  <c r="T71" i="1"/>
  <c r="T72" i="1" a="1"/>
  <c r="T72" i="1" s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2" i="1"/>
  <c r="AA61" i="1"/>
  <c r="Z7" i="1"/>
  <c r="AB7" i="1" s="1"/>
  <c r="Z8" i="1"/>
  <c r="AB8" i="1" s="1"/>
  <c r="Z9" i="1"/>
  <c r="AB9" i="1" s="1"/>
  <c r="Z10" i="1"/>
  <c r="AB10" i="1" s="1"/>
  <c r="Z11" i="1"/>
  <c r="AB11" i="1" s="1"/>
  <c r="Z12" i="1"/>
  <c r="AA12" i="1" s="1"/>
  <c r="Z13" i="1"/>
  <c r="AA13" i="1" s="1"/>
  <c r="Z14" i="1"/>
  <c r="AA14" i="1" s="1"/>
  <c r="Z15" i="1"/>
  <c r="AA15" i="1" s="1"/>
  <c r="Z16" i="1"/>
  <c r="AA16" i="1" s="1"/>
  <c r="Z17" i="1"/>
  <c r="AB17" i="1" s="1"/>
  <c r="Z18" i="1"/>
  <c r="AB18" i="1" s="1"/>
  <c r="Z19" i="1"/>
  <c r="AB19" i="1" s="1"/>
  <c r="Z20" i="1"/>
  <c r="AB20" i="1" s="1"/>
  <c r="Z21" i="1"/>
  <c r="AA21" i="1" s="1"/>
  <c r="Z22" i="1"/>
  <c r="AA22" i="1" s="1"/>
  <c r="Z23" i="1"/>
  <c r="AA23" i="1" s="1"/>
  <c r="Z24" i="1"/>
  <c r="AA24" i="1" s="1"/>
  <c r="Z25" i="1"/>
  <c r="AA25" i="1" s="1"/>
  <c r="Z26" i="1"/>
  <c r="AB26" i="1" s="1"/>
  <c r="Z27" i="1"/>
  <c r="AA27" i="1" s="1"/>
  <c r="Z28" i="1"/>
  <c r="AB28" i="1" s="1"/>
  <c r="Z29" i="1"/>
  <c r="AB29" i="1" s="1"/>
  <c r="Z30" i="1"/>
  <c r="AB30" i="1" s="1"/>
  <c r="Z31" i="1"/>
  <c r="AB31" i="1" s="1"/>
  <c r="Z32" i="1"/>
  <c r="AA32" i="1" s="1"/>
  <c r="Z33" i="1"/>
  <c r="AA33" i="1" s="1"/>
  <c r="Z34" i="1"/>
  <c r="AA34" i="1" s="1"/>
  <c r="Z35" i="1"/>
  <c r="AA35" i="1" s="1"/>
  <c r="Z36" i="1"/>
  <c r="AA36" i="1" s="1"/>
  <c r="Z37" i="1"/>
  <c r="AB37" i="1" s="1"/>
  <c r="Z38" i="1"/>
  <c r="AA38" i="1" s="1"/>
  <c r="Z39" i="1"/>
  <c r="AB39" i="1" s="1"/>
  <c r="Z40" i="1"/>
  <c r="AA40" i="1" s="1"/>
  <c r="Z41" i="1"/>
  <c r="AA41" i="1" s="1"/>
  <c r="Z42" i="1"/>
  <c r="AA42" i="1" s="1"/>
  <c r="Z43" i="1"/>
  <c r="AA43" i="1" s="1"/>
  <c r="Z44" i="1"/>
  <c r="AA44" i="1" s="1"/>
  <c r="Z45" i="1"/>
  <c r="AA45" i="1" s="1"/>
  <c r="Z46" i="1"/>
  <c r="AA46" i="1" s="1"/>
  <c r="Z47" i="1"/>
  <c r="AB47" i="1" s="1"/>
  <c r="Z48" i="1"/>
  <c r="AB48" i="1" s="1"/>
  <c r="Z49" i="1"/>
  <c r="AB49" i="1" s="1"/>
  <c r="Z50" i="1"/>
  <c r="AB50" i="1" s="1"/>
  <c r="Z51" i="1"/>
  <c r="AA51" i="1" s="1"/>
  <c r="Z52" i="1"/>
  <c r="AA52" i="1" s="1"/>
  <c r="Z53" i="1"/>
  <c r="AA53" i="1" s="1"/>
  <c r="Z54" i="1"/>
  <c r="AA54" i="1" s="1"/>
  <c r="Z55" i="1"/>
  <c r="AA55" i="1" s="1"/>
  <c r="Z56" i="1"/>
  <c r="AA56" i="1" s="1"/>
  <c r="Z57" i="1"/>
  <c r="AB57" i="1" s="1"/>
  <c r="Z58" i="1"/>
  <c r="AB58" i="1" s="1"/>
  <c r="Z59" i="1"/>
  <c r="AB59" i="1" s="1"/>
  <c r="Z60" i="1"/>
  <c r="AB60" i="1" s="1"/>
  <c r="Z61" i="1"/>
  <c r="Z62" i="1"/>
  <c r="AB62" i="1" s="1"/>
  <c r="Z63" i="1"/>
  <c r="AA63" i="1" s="1"/>
  <c r="Z64" i="1"/>
  <c r="AA64" i="1" s="1"/>
  <c r="Z65" i="1"/>
  <c r="AA65" i="1" s="1"/>
  <c r="Z66" i="1"/>
  <c r="AA66" i="1" s="1"/>
  <c r="Z67" i="1"/>
  <c r="Z68" i="1"/>
  <c r="AB68" i="1" s="1"/>
  <c r="Z69" i="1"/>
  <c r="AA69" i="1" s="1"/>
  <c r="Z70" i="1"/>
  <c r="AA70" i="1" s="1"/>
  <c r="Z71" i="1"/>
  <c r="AA71" i="1" s="1"/>
  <c r="Z72" i="1"/>
  <c r="AB72" i="1" s="1"/>
  <c r="Y67" i="1"/>
  <c r="X67" i="1"/>
  <c r="X68" i="1"/>
  <c r="X69" i="1"/>
  <c r="X70" i="1"/>
  <c r="X71" i="1"/>
  <c r="X72" i="1"/>
  <c r="W68" i="1"/>
  <c r="W69" i="1"/>
  <c r="W70" i="1"/>
  <c r="W71" i="1"/>
  <c r="W72" i="1"/>
  <c r="W67" i="1"/>
  <c r="V68" i="1"/>
  <c r="V69" i="1"/>
  <c r="V70" i="1"/>
  <c r="V71" i="1"/>
  <c r="V72" i="1"/>
  <c r="V67" i="1"/>
  <c r="Y68" i="1"/>
  <c r="V62" i="1"/>
  <c r="V63" i="1"/>
  <c r="V64" i="1"/>
  <c r="V65" i="1"/>
  <c r="V66" i="1"/>
  <c r="Y72" i="1"/>
  <c r="Y71" i="1"/>
  <c r="Y70" i="1"/>
  <c r="Y69" i="1"/>
  <c r="W66" i="1"/>
  <c r="X66" i="1"/>
  <c r="Y66" i="1"/>
  <c r="W65" i="1"/>
  <c r="X65" i="1"/>
  <c r="Y65" i="1"/>
  <c r="W64" i="1"/>
  <c r="X64" i="1"/>
  <c r="Y64" i="1"/>
  <c r="W63" i="1"/>
  <c r="X63" i="1"/>
  <c r="Y63" i="1"/>
  <c r="W62" i="1"/>
  <c r="X62" i="1"/>
  <c r="Y62" i="1"/>
  <c r="Z2" i="1"/>
  <c r="AA2" i="1" s="1"/>
  <c r="V52" i="1"/>
  <c r="V53" i="1"/>
  <c r="V54" i="1"/>
  <c r="V55" i="1"/>
  <c r="V56" i="1"/>
  <c r="V57" i="1"/>
  <c r="V58" i="1"/>
  <c r="V59" i="1"/>
  <c r="V60" i="1"/>
  <c r="V61" i="1"/>
  <c r="W61" i="1"/>
  <c r="X61" i="1"/>
  <c r="Y61" i="1"/>
  <c r="W60" i="1"/>
  <c r="X60" i="1"/>
  <c r="Y60" i="1"/>
  <c r="W59" i="1"/>
  <c r="X59" i="1"/>
  <c r="Y59" i="1"/>
  <c r="W58" i="1"/>
  <c r="X58" i="1"/>
  <c r="Y58" i="1"/>
  <c r="W57" i="1"/>
  <c r="X57" i="1"/>
  <c r="Y57" i="1"/>
  <c r="W56" i="1"/>
  <c r="X56" i="1"/>
  <c r="Y56" i="1"/>
  <c r="W55" i="1"/>
  <c r="X55" i="1"/>
  <c r="Y55" i="1"/>
  <c r="W54" i="1"/>
  <c r="X54" i="1"/>
  <c r="Y54" i="1"/>
  <c r="W53" i="1"/>
  <c r="X53" i="1"/>
  <c r="Y53" i="1"/>
  <c r="W52" i="1"/>
  <c r="X52" i="1"/>
  <c r="Y52" i="1"/>
  <c r="V47" i="1"/>
  <c r="V48" i="1"/>
  <c r="V49" i="1"/>
  <c r="V50" i="1"/>
  <c r="V51" i="1"/>
  <c r="W51" i="1"/>
  <c r="X51" i="1"/>
  <c r="Y51" i="1"/>
  <c r="W50" i="1"/>
  <c r="X50" i="1"/>
  <c r="Y50" i="1"/>
  <c r="W49" i="1"/>
  <c r="X49" i="1"/>
  <c r="Y49" i="1"/>
  <c r="W48" i="1"/>
  <c r="X48" i="1"/>
  <c r="Y48" i="1"/>
  <c r="W47" i="1"/>
  <c r="X47" i="1"/>
  <c r="Y47" i="1"/>
  <c r="V42" i="1"/>
  <c r="V43" i="1"/>
  <c r="V44" i="1"/>
  <c r="V45" i="1"/>
  <c r="V46" i="1"/>
  <c r="W46" i="1"/>
  <c r="X46" i="1"/>
  <c r="Y46" i="1"/>
  <c r="W45" i="1"/>
  <c r="X45" i="1"/>
  <c r="Y45" i="1"/>
  <c r="W44" i="1"/>
  <c r="X44" i="1"/>
  <c r="Y44" i="1"/>
  <c r="W43" i="1"/>
  <c r="X43" i="1"/>
  <c r="Y43" i="1"/>
  <c r="W42" i="1"/>
  <c r="X42" i="1"/>
  <c r="Y4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Y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W2" i="1"/>
  <c r="V2" i="1"/>
  <c r="B4" i="1"/>
  <c r="B6" i="1" s="1"/>
  <c r="Z6" i="1" s="1"/>
  <c r="AA6" i="1" s="1"/>
  <c r="B3" i="1"/>
  <c r="B5" i="1" s="1"/>
  <c r="Z5" i="1" s="1"/>
  <c r="AA5" i="1" s="1"/>
  <c r="AA29" i="1" l="1"/>
  <c r="AA62" i="1"/>
  <c r="AA11" i="1"/>
  <c r="AB25" i="1"/>
  <c r="AA60" i="1"/>
  <c r="AA20" i="1"/>
  <c r="AA50" i="1"/>
  <c r="AA19" i="1"/>
  <c r="AA49" i="1"/>
  <c r="AA10" i="1"/>
  <c r="Z4" i="1"/>
  <c r="AA4" i="1" s="1"/>
  <c r="AA39" i="1"/>
  <c r="AA59" i="1"/>
  <c r="AA31" i="1"/>
  <c r="AA9" i="1"/>
  <c r="AA30" i="1"/>
  <c r="AA48" i="1"/>
  <c r="Z3" i="1"/>
  <c r="AA3" i="1" s="1"/>
  <c r="AA57" i="1"/>
  <c r="AA47" i="1"/>
  <c r="AA37" i="1"/>
  <c r="AA17" i="1"/>
  <c r="AA7" i="1"/>
  <c r="AB46" i="1"/>
  <c r="AA26" i="1"/>
  <c r="AA58" i="1"/>
  <c r="AA28" i="1"/>
  <c r="AA8" i="1"/>
  <c r="AA18" i="1"/>
  <c r="AB70" i="1"/>
  <c r="AA72" i="1"/>
  <c r="AA68" i="1"/>
  <c r="AB38" i="1"/>
  <c r="AB27" i="1"/>
  <c r="AB2" i="1"/>
  <c r="AB42" i="1"/>
  <c r="AB56" i="1"/>
  <c r="AB55" i="1"/>
  <c r="AB14" i="1"/>
  <c r="AB51" i="1"/>
  <c r="AB32" i="1"/>
  <c r="AB22" i="1"/>
  <c r="AB65" i="1"/>
  <c r="AB52" i="1"/>
  <c r="AB33" i="1"/>
  <c r="AB21" i="1"/>
  <c r="AB69" i="1"/>
  <c r="AB13" i="1"/>
  <c r="AB54" i="1"/>
  <c r="AB24" i="1"/>
  <c r="AB23" i="1"/>
  <c r="AB61" i="1"/>
  <c r="AB6" i="1"/>
  <c r="AB71" i="1"/>
  <c r="AB12" i="1"/>
  <c r="AB15" i="1"/>
  <c r="AB16" i="1"/>
  <c r="AB45" i="1"/>
  <c r="AB5" i="1"/>
  <c r="AB53" i="1"/>
  <c r="AB44" i="1"/>
  <c r="AB43" i="1"/>
  <c r="AB63" i="1"/>
  <c r="AB41" i="1"/>
  <c r="AB40" i="1"/>
  <c r="AB36" i="1"/>
  <c r="AB35" i="1"/>
  <c r="AB66" i="1"/>
  <c r="AB64" i="1"/>
  <c r="AB34" i="1"/>
  <c r="AB3" i="1" l="1"/>
  <c r="A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<sst xmlns="http://schemas.openxmlformats.org/spreadsheetml/2006/main" count="701" uniqueCount="150">
  <si>
    <t>teamId</t>
  </si>
  <si>
    <t>teamName</t>
  </si>
  <si>
    <t>tourment</t>
  </si>
  <si>
    <t>Corner</t>
  </si>
  <si>
    <t>Fouls</t>
  </si>
  <si>
    <t>freeKick</t>
  </si>
  <si>
    <t>yCard</t>
  </si>
  <si>
    <t>rCard</t>
  </si>
  <si>
    <t>OffSide</t>
  </si>
  <si>
    <t>targetShot</t>
  </si>
  <si>
    <t>TargetOffShot</t>
  </si>
  <si>
    <t>date</t>
  </si>
  <si>
    <t>Goal</t>
  </si>
  <si>
    <t>firstTeamScore</t>
  </si>
  <si>
    <t>firstPlayerScore</t>
  </si>
  <si>
    <t>matchResult</t>
  </si>
  <si>
    <t>beitar_jerusalem</t>
  </si>
  <si>
    <t>FirstPlayerAssist</t>
  </si>
  <si>
    <t>yardenShua</t>
  </si>
  <si>
    <t>dorMicha</t>
  </si>
  <si>
    <t>Won</t>
  </si>
  <si>
    <t>image</t>
  </si>
  <si>
    <t>hapoel_tel_aviv</t>
  </si>
  <si>
    <t>Lose</t>
  </si>
  <si>
    <t>preimerLeague8</t>
  </si>
  <si>
    <t>hapoel_haifa</t>
  </si>
  <si>
    <t>ofekBiton</t>
  </si>
  <si>
    <t>preimerLeague7</t>
  </si>
  <si>
    <t>Tie</t>
  </si>
  <si>
    <t>Ashdod</t>
  </si>
  <si>
    <t>None</t>
  </si>
  <si>
    <t>preimerLeague6</t>
  </si>
  <si>
    <t>shavitMazal</t>
  </si>
  <si>
    <t>NadavAvivNiddam</t>
  </si>
  <si>
    <t>point</t>
  </si>
  <si>
    <t>antonioSefer</t>
  </si>
  <si>
    <t>preimerLeague5</t>
  </si>
  <si>
    <t>maorLevi</t>
  </si>
  <si>
    <t>KarmJaber</t>
  </si>
  <si>
    <t>Hapoel_beer_sheva</t>
  </si>
  <si>
    <t>ofirDavidzada</t>
  </si>
  <si>
    <t>bney_reine</t>
  </si>
  <si>
    <t>maccabi_Natanya</t>
  </si>
  <si>
    <t>maccabi_natanya</t>
  </si>
  <si>
    <t>matanBalaxa</t>
  </si>
  <si>
    <t>royKorine</t>
  </si>
  <si>
    <t>andrianKraev</t>
  </si>
  <si>
    <t>preimerLeague4</t>
  </si>
  <si>
    <t>ashdod</t>
  </si>
  <si>
    <t>karimKimvuidi</t>
  </si>
  <si>
    <t>eugeneAnsah</t>
  </si>
  <si>
    <t>zeTurbo</t>
  </si>
  <si>
    <t>emmanuelBanda</t>
  </si>
  <si>
    <t>kiryat_shmona</t>
  </si>
  <si>
    <t>trivateStewart</t>
  </si>
  <si>
    <t>sufPodgoreanu</t>
  </si>
  <si>
    <t>maccabi_haifa</t>
  </si>
  <si>
    <t>month</t>
  </si>
  <si>
    <t>nameDay</t>
  </si>
  <si>
    <t>nameMonth</t>
  </si>
  <si>
    <t>jeanBatoum</t>
  </si>
  <si>
    <t>adrianUgarriza</t>
  </si>
  <si>
    <t>mohamadAbuRumi</t>
  </si>
  <si>
    <t>preimerLeague3</t>
  </si>
  <si>
    <t>ethaneAzoulay</t>
  </si>
  <si>
    <t>hapoel_petach_tikva</t>
  </si>
  <si>
    <t>cle</t>
  </si>
  <si>
    <t>tomerAltman</t>
  </si>
  <si>
    <t>dolevHaziza</t>
  </si>
  <si>
    <t>bnei_sakhnin</t>
  </si>
  <si>
    <t>ahmedTaha</t>
  </si>
  <si>
    <t>jubayerBushnaq</t>
  </si>
  <si>
    <t>hapoel_jerusalem</t>
  </si>
  <si>
    <t>ilayMadmon</t>
  </si>
  <si>
    <t>andrewIdoko</t>
  </si>
  <si>
    <t>peterMichael</t>
  </si>
  <si>
    <t>EliyahuBelilti</t>
  </si>
  <si>
    <t>ironi_tiberias</t>
  </si>
  <si>
    <t>teamNameScoreFirst</t>
  </si>
  <si>
    <t>scoreFirstWon</t>
  </si>
  <si>
    <t>NONscoreFirstWon</t>
  </si>
  <si>
    <t>תוויות עמודה</t>
  </si>
  <si>
    <t>תוויות שורה</t>
  </si>
  <si>
    <t>סכום כולל</t>
  </si>
  <si>
    <t>No</t>
  </si>
  <si>
    <t>Yes</t>
  </si>
  <si>
    <t>ספירה של NONscoreFirstWon</t>
  </si>
  <si>
    <t>סכום של Goal</t>
  </si>
  <si>
    <t>maccabi_tel_aviv</t>
  </si>
  <si>
    <t>dorPeretz</t>
  </si>
  <si>
    <t>royRevivo</t>
  </si>
  <si>
    <t>kiryat_shmone</t>
  </si>
  <si>
    <t>yairMordechi</t>
  </si>
  <si>
    <t>adiYona</t>
  </si>
  <si>
    <t>grigoryMorozov</t>
  </si>
  <si>
    <t>hapoel_beer_sheva</t>
  </si>
  <si>
    <t>kennySaief</t>
  </si>
  <si>
    <t>itamarNoy</t>
  </si>
  <si>
    <t>songaChipyoka</t>
  </si>
  <si>
    <t>guyHadida</t>
  </si>
  <si>
    <t>karloBurcic-OWN</t>
  </si>
  <si>
    <t>stanislavBilenkyi</t>
  </si>
  <si>
    <t>guyBadash</t>
  </si>
  <si>
    <t>arturMiranyan</t>
  </si>
  <si>
    <t>mathewCudjoe</t>
  </si>
  <si>
    <t>EuropaLeague</t>
  </si>
  <si>
    <t>midtjylland</t>
  </si>
  <si>
    <t>franculinoDju</t>
  </si>
  <si>
    <t>VictorBacJensen</t>
  </si>
  <si>
    <t>saiedAbuFarchi</t>
  </si>
  <si>
    <t>BenLederman</t>
  </si>
  <si>
    <t>helderLopes</t>
  </si>
  <si>
    <t>orBlorian</t>
  </si>
  <si>
    <t>danBiton</t>
  </si>
  <si>
    <t>ratioGoal</t>
  </si>
  <si>
    <t>shot</t>
  </si>
  <si>
    <t>totoCupFinal</t>
  </si>
  <si>
    <t>totoCupfFinal</t>
  </si>
  <si>
    <t>בני_סכנין#/media/קובץ:HapoÃ«l_Bnei_Sakhnin.png</t>
  </si>
  <si>
    <t>בית"ר_ירושלים#/media/קובץ:BeitarJerusalemCrestStar2020.png</t>
  </si>
  <si>
    <t>הפועל_ירושלים_(כדורגל)#/media/קובץ:HapoelJerusalemFootballClubLogo2021.png</t>
  </si>
  <si>
    <t>הפועל_תל_אביב_(כדורגל)#/media/קובץ:Hapoel_Tel_Aviv_Logo.png</t>
  </si>
  <si>
    <t>הפועל_חיפה_(כדורגל)#/media/קובץ:Hapoel_Haifa_Football_Club_Logo.png</t>
  </si>
  <si>
    <t>מועדון_ספורט_אשדוד#/media/קובץ:Ashdod.png</t>
  </si>
  <si>
    <t>מכבי_בני_ריינה#/media/קובץ:MaccabiBneiReine2022.png</t>
  </si>
  <si>
    <t>מכבי_נתניה#/media/קובץ:MaccabiNetanyaNewlogo2021.png</t>
  </si>
  <si>
    <t>עירוני_קריית_שמונה#/media/קובץ:Hapoel_Ironi_Kiryat_Shmona_badge.png</t>
  </si>
  <si>
    <t>מכבי_חיפה_(כדורגל)#/media/קובץ:סמל_מכבי_חיפה_2023.png</t>
  </si>
  <si>
    <t>הפועל_פתח_תקווה_(כדורגל)#/media/קובץ:Hapoel_Petach_Tikva_logo.png</t>
  </si>
  <si>
    <t>עירוני_טבריה#/media/קובץ:Ironi_logo_new.gif</t>
  </si>
  <si>
    <t>מכבי_תל_אביב_(כדורגל)#/media/קובץ:Maccabi_Tel_Aviv_FC.png</t>
  </si>
  <si>
    <t>הפועל_באר_שבע#/media/קובץ:LogoOfHBS.png</t>
  </si>
  <si>
    <t>originalURL</t>
  </si>
  <si>
    <t>https://he.wikipedia.org/wiki/</t>
  </si>
  <si>
    <t>url</t>
  </si>
  <si>
    <t>https://images.one.co.il/images/msites/leagues/logos150/1ccf91e6473ef1d4d9ec51f6495820cd.png</t>
  </si>
  <si>
    <t>https://images.one.co.il/images/msites/leagues/logos150/99de806e3a05d70f135319c9840e2b81.png</t>
  </si>
  <si>
    <t>https://images.one.co.il/images/msites/leagues/logos150/6b2ac67411b8df64a687a62ebb51742f.png</t>
  </si>
  <si>
    <t>https://images.one.co.il/images/msites/leagues/logos150/90286e0517bcccaea0f54d5b8e0868ca.png</t>
  </si>
  <si>
    <t>https://images.one.co.il/images/msites/leagues/logos150/699f2c56339915fabb1b3f71fac887ed.png</t>
  </si>
  <si>
    <t>https://images.one.co.il/images/msites/leagues/logos150/842d7a018c2ae3ee14889e8ddc9d2cc9.png</t>
  </si>
  <si>
    <t>https://images.one.co.il/images/msites/leagues/logos150/5a7bfad9613f938e8932ef2a31a97ce0.png</t>
  </si>
  <si>
    <t>https://images.one.co.il/images/msites/leagues/logos150/5c429a9362004ba00f158c39b1a3043a.png</t>
  </si>
  <si>
    <t>https://images.one.co.il/images/msites/leagues/logos150/8d9a866748d98bda524cf074fffd37e1.png</t>
  </si>
  <si>
    <t>https://images.one.co.il/images/msites/leagues/logos150/68cf8e707668cd24433ae9142eb49a03.png</t>
  </si>
  <si>
    <t>https://images.one.co.il/images/msites/leagues/logos150/14f6f845ed072f3a9a97711c490bd3d8.png</t>
  </si>
  <si>
    <t>https://images.one.co.il/images/msites/leagues/logos150/b2bf5d207fc934a16ecf87e2d18f56b6.png</t>
  </si>
  <si>
    <t>https://images.one.co.il/images/msites/leagues/logos150/6cb525f15aa027ef97e98907e0894f4e.png</t>
  </si>
  <si>
    <t>https://images.one.co.il/images/msites/leagues/logos150/ee0d44686dc69645219db2f9607c15a9.png</t>
  </si>
  <si>
    <t>oneUrl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</si>
</sst>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charset val="177"/>
      <scheme val="minor"/>
    </font>
    <font>
      <sz val="12"/>
      <color rgb="FF000000"/>
      <name val="Arial"/>
      <family val="2"/>
      <charset val="177"/>
      <scheme val="minor"/>
    </font>
    <font>
      <u/>
      <sz val="12"/>
      <color theme="10"/>
      <name val="Arial"/>
      <family val="2"/>
      <charset val="177"/>
      <scheme val="minor"/>
    </font>
    <font>
      <sz val="11"/>
      <color rgb="FF1F1F1F"/>
      <name val="Courier New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B3D"/>
        <bgColor indexed="64"/>
      </patternFill>
    </fill>
    <fill>
      <patternFill patternType="solid">
        <fgColor rgb="FFCA002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9B2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readingOrder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pivotButton="1"/>
    <xf numFmtId="0" fontId="0" fillId="0" borderId="0" xfId="0" applyAlignment="1">
      <alignment horizontal="right"/>
    </xf>
    <xf numFmtId="0" fontId="0" fillId="12" borderId="0" xfId="0" applyFill="1"/>
    <xf numFmtId="0" fontId="2" fillId="0" borderId="0" xfId="1"/>
    <xf numFmtId="2" fontId="0" fillId="0" borderId="0" xfId="0" applyNumberFormat="1"/>
    <xf numFmtId="0" fontId="3" fillId="0" borderId="0" xfId="0" applyFont="1"/>
  </cellXfs>
  <cellStyles count="2">
    <cellStyle name="היפר-קישור" xfId="1" builtinId="8"/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7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theme="6" tint="0.39997558519241921"/>
        </patternFill>
      </fill>
    </dxf>
  </dxfs>
  <tableStyles count="0" defaultTableStyle="TableStyleMedium2" defaultPivotStyle="PivotStyleLight16"/>
  <colors>
    <mruColors>
      <color rgb="FFFF6B3D"/>
      <color rgb="FFB9B200"/>
      <color rgb="FFCA00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[footballData il.xlsx]compareWonLoseFirstScoreTeam!PivotTable1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compareWonLoseFirstScoreTeam!$B$3:$B$4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compareWonLoseFirstScoreTeam!$A$5:$A$17</c:f>
              <c:strCache>
                <c:ptCount val="12"/>
                <c:pt idx="0">
                  <c:v>Ashdod</c:v>
                </c:pt>
                <c:pt idx="1">
                  <c:v>beitar_jerusalem</c:v>
                </c:pt>
                <c:pt idx="2">
                  <c:v>bnei_sakhnin</c:v>
                </c:pt>
                <c:pt idx="3">
                  <c:v>bney_reine</c:v>
                </c:pt>
                <c:pt idx="4">
                  <c:v>hapoel_haifa</c:v>
                </c:pt>
                <c:pt idx="5">
                  <c:v>hapoel_jerusalem</c:v>
                </c:pt>
                <c:pt idx="6">
                  <c:v>hapoel_petach_tikva</c:v>
                </c:pt>
                <c:pt idx="7">
                  <c:v>hapoel_tel_aviv</c:v>
                </c:pt>
                <c:pt idx="8">
                  <c:v>ironi_tiberias</c:v>
                </c:pt>
                <c:pt idx="9">
                  <c:v>kiryat_shmona</c:v>
                </c:pt>
                <c:pt idx="10">
                  <c:v>maccabi_haifa</c:v>
                </c:pt>
                <c:pt idx="11">
                  <c:v>maccabi_natanya</c:v>
                </c:pt>
              </c:strCache>
            </c:strRef>
          </c:cat>
          <c:val>
            <c:numRef>
              <c:f>compareWonLoseFirstScoreTeam!$B$5:$B$17</c:f>
              <c:numCache>
                <c:formatCode>General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5-9342-8A9C-31409EBB2D3B}"/>
            </c:ext>
          </c:extLst>
        </c:ser>
        <c:ser>
          <c:idx val="1"/>
          <c:order val="1"/>
          <c:tx>
            <c:strRef>
              <c:f>compareWonLoseFirstScoreTeam!$C$3:$C$4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compareWonLoseFirstScoreTeam!$A$5:$A$17</c:f>
              <c:strCache>
                <c:ptCount val="12"/>
                <c:pt idx="0">
                  <c:v>Ashdod</c:v>
                </c:pt>
                <c:pt idx="1">
                  <c:v>beitar_jerusalem</c:v>
                </c:pt>
                <c:pt idx="2">
                  <c:v>bnei_sakhnin</c:v>
                </c:pt>
                <c:pt idx="3">
                  <c:v>bney_reine</c:v>
                </c:pt>
                <c:pt idx="4">
                  <c:v>hapoel_haifa</c:v>
                </c:pt>
                <c:pt idx="5">
                  <c:v>hapoel_jerusalem</c:v>
                </c:pt>
                <c:pt idx="6">
                  <c:v>hapoel_petach_tikva</c:v>
                </c:pt>
                <c:pt idx="7">
                  <c:v>hapoel_tel_aviv</c:v>
                </c:pt>
                <c:pt idx="8">
                  <c:v>ironi_tiberias</c:v>
                </c:pt>
                <c:pt idx="9">
                  <c:v>kiryat_shmona</c:v>
                </c:pt>
                <c:pt idx="10">
                  <c:v>maccabi_haifa</c:v>
                </c:pt>
                <c:pt idx="11">
                  <c:v>maccabi_natanya</c:v>
                </c:pt>
              </c:strCache>
            </c:strRef>
          </c:cat>
          <c:val>
            <c:numRef>
              <c:f>compareWonLoseFirstScoreTeam!$C$5:$C$17</c:f>
              <c:numCache>
                <c:formatCode>General</c:formatCode>
                <c:ptCount val="12"/>
                <c:pt idx="1">
                  <c:v>3</c:v>
                </c:pt>
                <c:pt idx="4">
                  <c:v>1</c:v>
                </c:pt>
                <c:pt idx="7">
                  <c:v>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F5-9342-8A9C-31409EBB2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0262463"/>
        <c:axId val="490264255"/>
      </c:barChart>
      <c:catAx>
        <c:axId val="49026246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90264255"/>
        <c:crosses val="autoZero"/>
        <c:auto val="1"/>
        <c:lblAlgn val="ctr"/>
        <c:lblOffset val="100"/>
        <c:noMultiLvlLbl val="0"/>
      </c:catAx>
      <c:valAx>
        <c:axId val="490264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9026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[footballData il.xlsx]totalGoalTeamByPointResult!PivotTable2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975773162582864"/>
          <c:y val="1.8907124561237075E-2"/>
          <c:w val="0.76772064565754783"/>
          <c:h val="0.7137474080800141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totalGoalTeamByPointResult!$B$3:$B$4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totalGoalTeamByPointResult!$A$5:$A$17</c:f>
              <c:strCache>
                <c:ptCount val="12"/>
                <c:pt idx="0">
                  <c:v>Ashdod</c:v>
                </c:pt>
                <c:pt idx="1">
                  <c:v>beitar_jerusalem</c:v>
                </c:pt>
                <c:pt idx="2">
                  <c:v>bnei_sakhnin</c:v>
                </c:pt>
                <c:pt idx="3">
                  <c:v>bney_reine</c:v>
                </c:pt>
                <c:pt idx="4">
                  <c:v>hapoel_haifa</c:v>
                </c:pt>
                <c:pt idx="5">
                  <c:v>hapoel_jerusalem</c:v>
                </c:pt>
                <c:pt idx="6">
                  <c:v>hapoel_petach_tikva</c:v>
                </c:pt>
                <c:pt idx="7">
                  <c:v>hapoel_tel_aviv</c:v>
                </c:pt>
                <c:pt idx="8">
                  <c:v>ironi_tiberias</c:v>
                </c:pt>
                <c:pt idx="9">
                  <c:v>kiryat_shmona</c:v>
                </c:pt>
                <c:pt idx="10">
                  <c:v>maccabi_haifa</c:v>
                </c:pt>
                <c:pt idx="11">
                  <c:v>maccabi_natanya</c:v>
                </c:pt>
              </c:strCache>
            </c:strRef>
          </c:cat>
          <c:val>
            <c:numRef>
              <c:f>totalGoalTeamByPointResult!$B$5:$B$17</c:f>
              <c:numCache>
                <c:formatCode>General</c:formatCode>
                <c:ptCount val="12"/>
                <c:pt idx="0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6-8C47-A77C-2260CAD1AEDA}"/>
            </c:ext>
          </c:extLst>
        </c:ser>
        <c:ser>
          <c:idx val="1"/>
          <c:order val="1"/>
          <c:tx>
            <c:strRef>
              <c:f>totalGoalTeamByPointResult!$C$3:$C$4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totalGoalTeamByPointResult!$A$5:$A$17</c:f>
              <c:strCache>
                <c:ptCount val="12"/>
                <c:pt idx="0">
                  <c:v>Ashdod</c:v>
                </c:pt>
                <c:pt idx="1">
                  <c:v>beitar_jerusalem</c:v>
                </c:pt>
                <c:pt idx="2">
                  <c:v>bnei_sakhnin</c:v>
                </c:pt>
                <c:pt idx="3">
                  <c:v>bney_reine</c:v>
                </c:pt>
                <c:pt idx="4">
                  <c:v>hapoel_haifa</c:v>
                </c:pt>
                <c:pt idx="5">
                  <c:v>hapoel_jerusalem</c:v>
                </c:pt>
                <c:pt idx="6">
                  <c:v>hapoel_petach_tikva</c:v>
                </c:pt>
                <c:pt idx="7">
                  <c:v>hapoel_tel_aviv</c:v>
                </c:pt>
                <c:pt idx="8">
                  <c:v>ironi_tiberias</c:v>
                </c:pt>
                <c:pt idx="9">
                  <c:v>kiryat_shmona</c:v>
                </c:pt>
                <c:pt idx="10">
                  <c:v>maccabi_haifa</c:v>
                </c:pt>
                <c:pt idx="11">
                  <c:v>maccabi_natanya</c:v>
                </c:pt>
              </c:strCache>
            </c:strRef>
          </c:cat>
          <c:val>
            <c:numRef>
              <c:f>totalGoalTeamByPointResult!$C$5:$C$17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4">
                  <c:v>1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76-8C47-A77C-2260CAD1AEDA}"/>
            </c:ext>
          </c:extLst>
        </c:ser>
        <c:ser>
          <c:idx val="2"/>
          <c:order val="2"/>
          <c:tx>
            <c:strRef>
              <c:f>totalGoalTeamByPointResult!$D$3:$D$4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totalGoalTeamByPointResult!$A$5:$A$17</c:f>
              <c:strCache>
                <c:ptCount val="12"/>
                <c:pt idx="0">
                  <c:v>Ashdod</c:v>
                </c:pt>
                <c:pt idx="1">
                  <c:v>beitar_jerusalem</c:v>
                </c:pt>
                <c:pt idx="2">
                  <c:v>bnei_sakhnin</c:v>
                </c:pt>
                <c:pt idx="3">
                  <c:v>bney_reine</c:v>
                </c:pt>
                <c:pt idx="4">
                  <c:v>hapoel_haifa</c:v>
                </c:pt>
                <c:pt idx="5">
                  <c:v>hapoel_jerusalem</c:v>
                </c:pt>
                <c:pt idx="6">
                  <c:v>hapoel_petach_tikva</c:v>
                </c:pt>
                <c:pt idx="7">
                  <c:v>hapoel_tel_aviv</c:v>
                </c:pt>
                <c:pt idx="8">
                  <c:v>ironi_tiberias</c:v>
                </c:pt>
                <c:pt idx="9">
                  <c:v>kiryat_shmona</c:v>
                </c:pt>
                <c:pt idx="10">
                  <c:v>maccabi_haifa</c:v>
                </c:pt>
                <c:pt idx="11">
                  <c:v>maccabi_natanya</c:v>
                </c:pt>
              </c:strCache>
            </c:strRef>
          </c:cat>
          <c:val>
            <c:numRef>
              <c:f>totalGoalTeamByPointResult!$D$5:$D$17</c:f>
              <c:numCache>
                <c:formatCode>General</c:formatCode>
                <c:ptCount val="12"/>
                <c:pt idx="0">
                  <c:v>4</c:v>
                </c:pt>
                <c:pt idx="1">
                  <c:v>13</c:v>
                </c:pt>
                <c:pt idx="2">
                  <c:v>2</c:v>
                </c:pt>
                <c:pt idx="4">
                  <c:v>2</c:v>
                </c:pt>
                <c:pt idx="6">
                  <c:v>6</c:v>
                </c:pt>
                <c:pt idx="7">
                  <c:v>7</c:v>
                </c:pt>
                <c:pt idx="10">
                  <c:v>5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76-8C47-A77C-2260CAD1A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1385919"/>
        <c:axId val="511387711"/>
        <c:axId val="0"/>
      </c:bar3DChart>
      <c:catAx>
        <c:axId val="5113859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11387711"/>
        <c:crosses val="autoZero"/>
        <c:auto val="1"/>
        <c:lblAlgn val="ctr"/>
        <c:lblOffset val="100"/>
        <c:noMultiLvlLbl val="0"/>
      </c:catAx>
      <c:valAx>
        <c:axId val="51138771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1138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279400</xdr:colOff>
      <xdr:row>0</xdr:row>
      <xdr:rowOff>0</xdr:rowOff>
    </xdr:from>
    <xdr:to>
      <xdr:col>14</xdr:col>
      <xdr:colOff>361950</xdr:colOff>
      <xdr:row>34</xdr:row>
      <xdr:rowOff>50800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A778B0A1-8003-EC35-F836-0B46854A1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63500</xdr:colOff>
      <xdr:row>1</xdr:row>
      <xdr:rowOff>171450</xdr:rowOff>
    </xdr:from>
    <xdr:to>
      <xdr:col>33</xdr:col>
      <xdr:colOff>38100</xdr:colOff>
      <xdr:row>35</xdr:row>
      <xdr:rowOff>25400</xdr:rowOff>
    </xdr:to>
    <xdr:graphicFrame macro="">
      <xdr:nvGraphicFramePr>
        <xdr:cNvPr id="6" name="תרשים 5">
          <a:extLst>
            <a:ext uri="{FF2B5EF4-FFF2-40B4-BE49-F238E27FC236}">
              <a16:creationId xmlns:a16="http://schemas.microsoft.com/office/drawing/2014/main" id="{03B495D8-FC76-9A3A-ADBF-F8276B18C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סהר יעקב" refreshedDate="45961.601742939813" createdVersion="8" refreshedVersion="8" minRefreshableVersion="3" recordCount="60" xr:uid="{7BD24723-75A0-8441-A214-DC7609D090D3}">
  <cacheSource type="worksheet">
    <worksheetSource name="data"/>
  </cacheSource>
  <cacheFields count="27">
    <cacheField name="teamId" numFmtId="0">
      <sharedItems containsSemiMixedTypes="0" containsString="0" containsNumber="1" containsInteger="1" minValue="11" maxValue="125"/>
    </cacheField>
    <cacheField name="teamName" numFmtId="0">
      <sharedItems count="12">
        <s v="beitar_jerusalem"/>
        <s v="hapoel_tel_aviv"/>
        <s v="hapoel_haifa"/>
        <s v="Ashdod"/>
        <s v="bney_reine"/>
        <s v="maccabi_natanya"/>
        <s v="kiryat_shmona"/>
        <s v="maccabi_haifa"/>
        <s v="hapoel_petach_tikva"/>
        <s v="bnei_sakhnin"/>
        <s v="hapoel_jerusalem"/>
        <s v="ironi_tiberias"/>
      </sharedItems>
    </cacheField>
    <cacheField name="tourment" numFmtId="0">
      <sharedItems containsBlank="1" count="8">
        <s v="totoCup"/>
        <s v="preimerLeague8"/>
        <s v="preimerLeague7"/>
        <s v="preimerLeague6"/>
        <s v="preimerLeague5"/>
        <s v="preimerLeague4"/>
        <s v="preimerLeague3"/>
        <m/>
      </sharedItems>
    </cacheField>
    <cacheField name="Corner" numFmtId="0">
      <sharedItems containsString="0" containsBlank="1" containsNumber="1" containsInteger="1" minValue="1" maxValue="11"/>
    </cacheField>
    <cacheField name="Fouls" numFmtId="0">
      <sharedItems containsString="0" containsBlank="1" containsNumber="1" containsInteger="1" minValue="6" maxValue="23"/>
    </cacheField>
    <cacheField name="freeKick" numFmtId="0">
      <sharedItems containsString="0" containsBlank="1" containsNumber="1" containsInteger="1" minValue="6" maxValue="21"/>
    </cacheField>
    <cacheField name="yCard" numFmtId="0">
      <sharedItems containsString="0" containsBlank="1" containsNumber="1" containsInteger="1" minValue="0" maxValue="6"/>
    </cacheField>
    <cacheField name="rCard" numFmtId="0">
      <sharedItems containsString="0" containsBlank="1" containsNumber="1" containsInteger="1" minValue="0" maxValue="2"/>
    </cacheField>
    <cacheField name="OffSide" numFmtId="0">
      <sharedItems containsString="0" containsBlank="1" containsNumber="1" containsInteger="1" minValue="0" maxValue="7"/>
    </cacheField>
    <cacheField name="targetShot" numFmtId="0">
      <sharedItems containsString="0" containsBlank="1" containsNumber="1" containsInteger="1" minValue="1" maxValue="12" count="12">
        <n v="5"/>
        <n v="11"/>
        <n v="7"/>
        <n v="2"/>
        <n v="3"/>
        <n v="8"/>
        <n v="4"/>
        <n v="1"/>
        <n v="6"/>
        <n v="12"/>
        <m/>
        <n v="10"/>
      </sharedItems>
    </cacheField>
    <cacheField name="TargetOffShot" numFmtId="0">
      <sharedItems containsString="0" containsBlank="1" containsNumber="1" containsInteger="1" minValue="0" maxValue="15" count="12">
        <n v="4"/>
        <n v="8"/>
        <n v="5"/>
        <n v="1"/>
        <n v="9"/>
        <n v="15"/>
        <n v="6"/>
        <n v="10"/>
        <n v="2"/>
        <n v="0"/>
        <n v="7"/>
        <m/>
      </sharedItems>
    </cacheField>
    <cacheField name="date" numFmtId="0">
      <sharedItems containsNonDate="0" containsDate="1" containsString="0" containsBlank="1" minDate="2025-09-15T00:00:00" maxDate="2025-10-29T00:00:00" count="11">
        <d v="2025-10-28T00:00:00"/>
        <d v="2025-10-25T00:00:00"/>
        <d v="2025-10-20T00:00:00"/>
        <d v="2025-10-04T00:00:00"/>
        <d v="2025-09-27T00:00:00"/>
        <d v="2025-09-20T00:00:00"/>
        <d v="2025-10-18T00:00:00"/>
        <d v="2025-09-21T00:00:00"/>
        <d v="2025-09-15T00:00:00"/>
        <d v="2025-10-05T00:00:00"/>
        <m/>
      </sharedItems>
      <fieldGroup par="26"/>
    </cacheField>
    <cacheField name="Goal" numFmtId="0">
      <sharedItems containsString="0" containsBlank="1" containsNumber="1" containsInteger="1" minValue="0" maxValue="6" count="7">
        <n v="2"/>
        <n v="3"/>
        <n v="0"/>
        <n v="5"/>
        <n v="1"/>
        <n v="6"/>
        <m/>
      </sharedItems>
    </cacheField>
    <cacheField name="firstTeamScore" numFmtId="0">
      <sharedItems containsBlank="1"/>
    </cacheField>
    <cacheField name="firstPlayerScore" numFmtId="0">
      <sharedItems containsBlank="1"/>
    </cacheField>
    <cacheField name="FirstPlayerAssist" numFmtId="0">
      <sharedItems containsBlank="1"/>
    </cacheField>
    <cacheField name="matchResult" numFmtId="0">
      <sharedItems containsBlank="1"/>
    </cacheField>
    <cacheField name="image" numFmtId="0">
      <sharedItems containsBlank="1" count="11" longText="1">
        <s v="https://www.google.com/imgres?q=%D7%91%D7%99%D7%AA%D7%A8%20%D7%99%D7%A8%D7%95%D7%A9%D7%9C%D7%99%D7%9D&amp;imgurl=https%3A%2F%2Fupload.wikimedia.org%2Fwikipedia%2Fhe%2F4%2F49%2FNewFCBJ.png&amp;imgrefurl=https%3A%2F%2Fhe.wikipedia.org%2Fwiki%2F%25D7%25A7%25D7%2595%25D7%2591%25D7%25A5%3ANewFCBJ.png&amp;docid=yziAfE9hqhOvNM&amp;tbnid=In481tVuQMqKDM&amp;vet=12ahUKEwiH1-uDuMyQAxX3T6QEHTi2AG4QM3oECBcQAA..i&amp;w=704&amp;h=799&amp;hcb=2&amp;ved=2ahUKEwiH1-uDuMyQAxX3T6QEHTi2AG4QM3oECBcQAA"/>
        <s v="https://www.google.com/imgres?q=%D7%94%D7%A4%D7%95%D7%A2%D7%9C%20%D7%AA%D7%90%20%D7%9B%D7%93%D7%95%D7%A8%D7%92%D7%9C&amp;imgurl=https%3A%2F%2Fupload.wikimedia.org%2Fwikipedia%2Fhe%2F5%2F52%2FHapoel_Tel_Aviv_Logo.png&amp;imgrefurl=https%3A%2F%2Fhe.wikipedia.org%2Fwiki%2F%25D7%2594%25D7%25A4%25D7%2595%25D7%25A2%25D7%259C_%25D7%25AA%25D7%259C_%25D7%2590%25D7%2591%25D7%2599%25D7%2591_(%25D7%259B%25D7%2593%25D7%2595%25D7%25A8%25D7%2592%25D7%259C)&amp;docid=ObDpR-TKK-Ee3M&amp;tbnid=56Io3RtVUcOE6M&amp;vet=12ahUKEwjXy93zuMyQAxUvRqQEHXQyJx8QM3oECBUQAA..i&amp;w=962&amp;h=1066&amp;hcb=2&amp;ved=2ahUKEwjXy93zuMyQAxUvRqQEHXQyJx8QM3oECBUQAA"/>
        <s v="https://www.google.com/imgres?q=%D7%94%D7%A4%D7%95%D7%A2%D7%9C%20%D7%97%D7%99%D7%A4%D7%94&amp;imgurl=https%3A%2F%2Fupload.wikimedia.org%2Fwikipedia%2Fhe%2Fa%2Fa2%2FHapoel_Haifa_Football_Club_Logo.png&amp;imgrefurl=https%3A%2F%2Fhe.wikipedia.org%2Fwiki%2F%25D7%2594%25D7%25A4%25D7%2595%25D7%25A2%25D7%259C_%25D7%2597%25D7%2599%25D7%25A4%25D7%2594_(%25D7%259B%25D7%2593%25D7%2595%25D7%25A8%25D7%2592%25D7%259C)&amp;docid=LUqySLowU0Z3dM&amp;tbnid=3YOIdiGa4S2UQM&amp;vet=12ahUKEwjz4Nrzw8yQAxXUKvsDHTSeAlkQM3oECBsQAA..i&amp;w=788&amp;h=766&amp;hcb=2&amp;ved=2ahUKEwjz4Nrzw8yQAxXUKvsDHTSeAlkQM3oECBsQAA"/>
        <s v="https://www.google.com/imgres?q=%D7%9E%D7%A1%20%D7%90%D7%A9%D7%93%D7%95%D7%93&amp;imgurl=https%3A%2F%2Fupload.wikimedia.org%2Fwikipedia%2Fhe%2F5%2F5b%2FAshdod.png&amp;imgrefurl=https%3A%2F%2Fhe.wikipedia.org%2Fwiki%2F%25D7%259E%25D7%2595%25D7%25A2%25D7%2593%25D7%2595%25D7%259F_%25D7%25A1%25D7%25A4%25D7%2595%25D7%25A8%25D7%2598_%25D7%2590%25D7%25A9%25D7%2593%25D7%2595%25D7%2593&amp;docid=RSTPYyVXMiCcMM&amp;tbnid=b4q9GcVf0czHAM&amp;vet=12ahUKEwjjlqq4xcyQAxWNV6QEHbQqALwQM3oECBcQAA..i&amp;w=1418&amp;h=1419&amp;hcb=2&amp;ved=2ahUKEwjjlqq4xcyQAxWNV6QEHbQqALwQM3oECBcQAA"/>
        <s v="https://www.google.com/imgres?q=%D7%91%D7%A0%D7%99%20%D7%A8%D7%99%D7%99%D7%A0%D7%94&amp;imgurl=https%3A%2F%2Fupload.wikimedia.org%2Fwikipedia%2Fhe%2Ff%2Ff7%2FMaccabiBneiReine2022.png&amp;imgrefurl=https%3A%2F%2Fhe.wikipedia.org%2Fwiki%2F%25D7%259E%25D7%259B%25D7%2591%25D7%2599_%25D7%2591%25D7%25A0%25D7%2599_%25D7%25A8%25D7%2599%25D7%2599%25D7%25A0%25D7%2594&amp;docid=Xbix5CsJQ2eFMM&amp;tbnid=g4LUhBWW9Vi2yM&amp;vet=12ahUKEwiPld3lx8yQAxVLNvsDHS1DKAEQM3oECBkQAA..i&amp;w=1232&amp;h=1047&amp;hcb=2&amp;ved=2ahUKEwiPld3lx8yQAxVLNvsDHS1DKAEQM3oECBkQAA"/>
        <s v="https://www.google.com/imgres?q=%D7%9E%D7%9B%D7%91%D7%99%20%D7%A0%D7%AA%D7%A0%D7%99%D7%94&amp;imgurl=https%3A%2F%2Fupload.wikimedia.org%2Fwikipedia%2Fhe%2Fb%2Fbc%2FMaccabiNetanyaNewlogo2021.png&amp;imgrefurl=https%3A%2F%2Fhe.wikipedia.org%2Fwiki%2F%25D7%259E%25D7%259B%25D7%2591%25D7%2599_%25D7%25A0%25D7%25AA%25D7%25A0%25D7%2599%25D7%2594&amp;docid=bUFWLgLsCgoyiM&amp;tbnid=Y-rQhw2Bb0HQrM&amp;vet=12ahUKEwjkmqXAr86QAxU-V6QEHfcTE5kQM3oECBcQAA..i&amp;w=500&amp;h=500&amp;hcb=2&amp;ved=2ahUKEwjkmqXAr86QAxU-V6QEHfcTE5kQM3oECBcQAA"/>
        <s v="https://www.google.com/imgres?q=%D7%A2%D7%99%D7%A8%D7%95%D7%A0%D7%99%20%D7%A7%D7%A8%D7%99%D7%99%D7%AA%20%D7%A9%D7%9E%D7%95%D7%A0%D7%94&amp;imgurl=https%3A%2F%2Fupload.wikimedia.org%2Fwikipedia%2Fhe%2Fthumb%2Fd%2Fd1%2FHapoel_Ironi_Kiryat_Shmona_badge.png%2F250px-Hapoel_Ironi_Kiryat_Shmona_badge.png&amp;imgrefurl=https%3A%2F%2Fhe.wikipedia.org%2Fwiki%2F%25D7%25A2%25D7%2599%25D7%25A8%25D7%2595%25D7%25A0%25D7%2599_%25D7%25A7%25D7%25A8%25D7%2599%25D7%2599%25D7%25AA_%25D7%25A9%25D7%259E%25D7%2595%25D7%25A0%25D7%2594&amp;docid=fFToJlqC1FYbpM&amp;tbnid=CUsURoOmHhWBvM&amp;vet=12ahUKEwiQmLrqzsyQAxWoOPsDHcJ9IPIQM3oECBMQAA..i&amp;w=250&amp;h=292&amp;hcb=2&amp;ved=2ahUKEwiQmLrqzsyQAxWoOPsDHcJ9IPIQM3oECBMQAA"/>
        <m/>
        <s v="https://www.google.com/imgres?q=%D7%9E%D7%9B%D7%91%D7%99%20%D7%97%D7%99%D7%A4%D7%94&amp;imgurl=https%3A%2F%2Fupload.wikimedia.org%2Fwikipedia%2Fhe%2Fthumb%2F1%2F1e%2F%25D7%25A1%25D7%259E%25D7%259C_%25D7%259E%25D7%259B%25D7%2591%25D7%2599_%25D7%2597%25D7%2599%25D7%25A4%25D7%2594_2023.png%2F250px-%25D7%25A1%25D7%259E%25D7%259C_%25D7%259E%25D7%259B%25D7%2591%25D7%2599_%25D7%2597%25D7%2599%25D7%25A4%25D7%2594_2023.png&amp;imgrefurl=https%3A%2F%2Fhe.wikipedia.org%2Fwiki%2F%25D7%259E%25D7%259B%25D7%2591%25D7%2599_%25D7%2597%25D7%2599%25D7%25A4%25D7%2594_(%25D7%259B%25D7%2593%25D7%2595%25D7%25A8%25D7%2592%25D7%259C)&amp;docid=8LahntUt1BlRHM&amp;tbnid=fQ_3gWU1OYbXPM&amp;vet=12ahUKEwiD_de9rM6QAxUnRKQEHRRRKPAQM3oECBYQAA..i&amp;w=250&amp;h=297&amp;hcb=2&amp;ved=2ahUKEwiD_de9rM6QAxUnRKQEHRRRKPAQM3oECBYQAA"/>
        <s v="https://www.google.com/imgres?q=%D7%94%D7%A4%D7%95%D7%A2%D7%9C%20%D7%A4%D7%AA%D7%97%20%D7%AA%D7%A7%D7%95%D7%95%D7%94&amp;imgurl=https%3A%2F%2Fupload.wikimedia.org%2Fwikipedia%2Fhe%2Fthumb%2F4%2F4d%2FHapoel_petach_tikva.png%2F250px-Hapoel_petach_tikva.png&amp;imgrefurl=https%3A%2F%2Fhe.wikipedia.org%2Fwiki%2F%25D7%2594%25D7%25A4%25D7%2595%25D7%25A2%25D7%259C_%25D7%25A4%25D7%25AA%25D7%2597_%25D7%25AA%25D7%25A7%25D7%2595%25D7%2595%25D7%2594_(%25D7%259B%25D7%2593%25D7%2595%25D7%25A8%25D7%2592%25D7%259C)&amp;docid=zN1AZAbrF-icuM&amp;tbnid=_gOGdpMjIYjL3M&amp;vet=12ahUKEwjxzMPars6QAxURUaQEHbKhO04QM3oECBcQAA..i&amp;w=250&amp;h=235&amp;hcb=2&amp;ved=2ahUKEwjxzMPars6QAxURUaQEHbKhO04QM3oECBcQAA"/>
        <s v="https://www.google.com/imgres?q=%D7%A2%D7%99%D7%A8%D7%95%D7%A0%D7%99%20%D7%98%D7%91%D7%A8%D7%99%D7%94&amp;imgurl=https%3A%2F%2Fupload.wikimedia.org%2Fwikipedia%2Fhe%2F8%2F84%2FIroni_logo_new.gif&amp;imgrefurl=https%3A%2F%2Fhe.wikipedia.org%2Fwiki%2F%25D7%25A2%25D7%2599%25D7%25A8%25D7%2595%25D7%25A0%25D7%2599_%25D7%2598%25D7%2591%25D7%25A8%25D7%2599%25D7%2594&amp;docid=yE2ViHopwBPm_M&amp;tbnid=Nx8NCPN8ITfpXM&amp;vet=12ahUKEwiYkfLRtM6QAxXIUqQEHeV2IHcQM3oECBoQAA..i&amp;w=1172&amp;h=1192&amp;hcb=2&amp;ved=2ahUKEwiYkfLRtM6QAxXIUqQEHeV2IHcQM3oECBoQAA"/>
      </sharedItems>
    </cacheField>
    <cacheField name="point" numFmtId="0">
      <sharedItems containsSemiMixedTypes="0" containsString="0" containsNumber="1" containsInteger="1" minValue="0" maxValue="3" count="3">
        <n v="3"/>
        <n v="1"/>
        <n v="0"/>
      </sharedItems>
    </cacheField>
    <cacheField name="month" numFmtId="0">
      <sharedItems containsSemiMixedTypes="0" containsString="0" containsNumber="1" containsInteger="1" minValue="1" maxValue="10"/>
    </cacheField>
    <cacheField name="nameDay" numFmtId="0">
      <sharedItems/>
    </cacheField>
    <cacheField name="nameMonth" numFmtId="0">
      <sharedItems/>
    </cacheField>
    <cacheField name="teamNameScoreFirst" numFmtId="0">
      <sharedItems containsSemiMixedTypes="0" containsString="0" containsNumber="1" containsInteger="1" minValue="0" maxValue="1"/>
    </cacheField>
    <cacheField name="scoreFirstWon" numFmtId="0">
      <sharedItems/>
    </cacheField>
    <cacheField name="NONscoreFirstWon" numFmtId="0">
      <sharedItems count="2">
        <s v="No"/>
        <s v="Yes"/>
      </sharedItems>
    </cacheField>
    <cacheField name="ימים (date)" numFmtId="0" databaseField="0">
      <fieldGroup base="11">
        <rangePr groupBy="days" startDate="2025-09-15T00:00:00" endDate="2025-10-29T00:00:00"/>
        <groupItems count="368">
          <s v="&lt;15.9.2025"/>
          <s v="1.ינו׳"/>
          <s v="2.ינו׳"/>
          <s v="3.ינו׳"/>
          <s v="4.ינו׳"/>
          <s v="5.ינו׳"/>
          <s v="6.ינו׳"/>
          <s v="7.ינו׳"/>
          <s v="8.ינו׳"/>
          <s v="9.ינו׳"/>
          <s v="10.ינו׳"/>
          <s v="11.ינו׳"/>
          <s v="12.ינו׳"/>
          <s v="13.ינו׳"/>
          <s v="14.ינו׳"/>
          <s v="15.ינו׳"/>
          <s v="16.ינו׳"/>
          <s v="17.ינו׳"/>
          <s v="18.ינו׳"/>
          <s v="19.ינו׳"/>
          <s v="20.ינו׳"/>
          <s v="21.ינו׳"/>
          <s v="22.ינו׳"/>
          <s v="23.ינו׳"/>
          <s v="24.ינו׳"/>
          <s v="25.ינו׳"/>
          <s v="26.ינו׳"/>
          <s v="27.ינו׳"/>
          <s v="28.ינו׳"/>
          <s v="29.ינו׳"/>
          <s v="30.ינו׳"/>
          <s v="31.ינו׳"/>
          <s v="1.פבר׳"/>
          <s v="2.פבר׳"/>
          <s v="3.פבר׳"/>
          <s v="4.פבר׳"/>
          <s v="5.פבר׳"/>
          <s v="6.פבר׳"/>
          <s v="7.פבר׳"/>
          <s v="8.פבר׳"/>
          <s v="9.פבר׳"/>
          <s v="10.פבר׳"/>
          <s v="11.פבר׳"/>
          <s v="12.פבר׳"/>
          <s v="13.פבר׳"/>
          <s v="14.פבר׳"/>
          <s v="15.פבר׳"/>
          <s v="16.פבר׳"/>
          <s v="17.פבר׳"/>
          <s v="18.פבר׳"/>
          <s v="19.פבר׳"/>
          <s v="20.פבר׳"/>
          <s v="21.פבר׳"/>
          <s v="22.פבר׳"/>
          <s v="23.פבר׳"/>
          <s v="24.פבר׳"/>
          <s v="25.פבר׳"/>
          <s v="26.פבר׳"/>
          <s v="27.פבר׳"/>
          <s v="28.פבר׳"/>
          <s v="29.פבר׳"/>
          <s v="1.מרץ"/>
          <s v="2.מרץ"/>
          <s v="3.מרץ"/>
          <s v="4.מרץ"/>
          <s v="5.מרץ"/>
          <s v="6.מרץ"/>
          <s v="7.מרץ"/>
          <s v="8.מרץ"/>
          <s v="9.מרץ"/>
          <s v="10.מרץ"/>
          <s v="11.מרץ"/>
          <s v="12.מרץ"/>
          <s v="13.מרץ"/>
          <s v="14.מרץ"/>
          <s v="15.מרץ"/>
          <s v="16.מרץ"/>
          <s v="17.מרץ"/>
          <s v="18.מרץ"/>
          <s v="19.מרץ"/>
          <s v="20.מרץ"/>
          <s v="21.מרץ"/>
          <s v="22.מרץ"/>
          <s v="23.מרץ"/>
          <s v="24.מרץ"/>
          <s v="25.מרץ"/>
          <s v="26.מרץ"/>
          <s v="27.מרץ"/>
          <s v="28.מרץ"/>
          <s v="29.מרץ"/>
          <s v="30.מרץ"/>
          <s v="31.מרץ"/>
          <s v="1.אפר׳"/>
          <s v="2.אפר׳"/>
          <s v="3.אפר׳"/>
          <s v="4.אפר׳"/>
          <s v="5.אפר׳"/>
          <s v="6.אפר׳"/>
          <s v="7.אפר׳"/>
          <s v="8.אפר׳"/>
          <s v="9.אפר׳"/>
          <s v="10.אפר׳"/>
          <s v="11.אפר׳"/>
          <s v="12.אפר׳"/>
          <s v="13.אפר׳"/>
          <s v="14.אפר׳"/>
          <s v="15.אפר׳"/>
          <s v="16.אפר׳"/>
          <s v="17.אפר׳"/>
          <s v="18.אפר׳"/>
          <s v="19.אפר׳"/>
          <s v="20.אפר׳"/>
          <s v="21.אפר׳"/>
          <s v="22.אפר׳"/>
          <s v="23.אפר׳"/>
          <s v="24.אפר׳"/>
          <s v="25.אפר׳"/>
          <s v="26.אפר׳"/>
          <s v="27.אפר׳"/>
          <s v="28.אפר׳"/>
          <s v="29.אפר׳"/>
          <s v="30.אפר׳"/>
          <s v="1.מאי"/>
          <s v="2.מאי"/>
          <s v="3.מאי"/>
          <s v="4.מאי"/>
          <s v="5.מאי"/>
          <s v="6.מאי"/>
          <s v="7.מאי"/>
          <s v="8.מאי"/>
          <s v="9.מאי"/>
          <s v="10.מאי"/>
          <s v="11.מאי"/>
          <s v="12.מאי"/>
          <s v="13.מאי"/>
          <s v="14.מאי"/>
          <s v="15.מאי"/>
          <s v="16.מאי"/>
          <s v="17.מאי"/>
          <s v="18.מאי"/>
          <s v="19.מאי"/>
          <s v="20.מאי"/>
          <s v="21.מאי"/>
          <s v="22.מאי"/>
          <s v="23.מאי"/>
          <s v="24.מאי"/>
          <s v="25.מאי"/>
          <s v="26.מאי"/>
          <s v="27.מאי"/>
          <s v="28.מאי"/>
          <s v="29.מאי"/>
          <s v="30.מאי"/>
          <s v="31.מאי"/>
          <s v="1.יוני"/>
          <s v="2.יוני"/>
          <s v="3.יוני"/>
          <s v="4.יוני"/>
          <s v="5.יוני"/>
          <s v="6.יוני"/>
          <s v="7.יוני"/>
          <s v="8.יוני"/>
          <s v="9.יוני"/>
          <s v="10.יוני"/>
          <s v="11.יוני"/>
          <s v="12.יוני"/>
          <s v="13.יוני"/>
          <s v="14.יוני"/>
          <s v="15.יוני"/>
          <s v="16.יוני"/>
          <s v="17.יוני"/>
          <s v="18.יוני"/>
          <s v="19.יוני"/>
          <s v="20.יוני"/>
          <s v="21.יוני"/>
          <s v="22.יוני"/>
          <s v="23.יוני"/>
          <s v="24.יוני"/>
          <s v="25.יוני"/>
          <s v="26.יוני"/>
          <s v="27.יוני"/>
          <s v="28.יוני"/>
          <s v="29.יוני"/>
          <s v="30.יוני"/>
          <s v="1.יולי"/>
          <s v="2.יולי"/>
          <s v="3.יולי"/>
          <s v="4.יולי"/>
          <s v="5.יולי"/>
          <s v="6.יולי"/>
          <s v="7.יולי"/>
          <s v="8.יולי"/>
          <s v="9.יולי"/>
          <s v="10.יולי"/>
          <s v="11.יולי"/>
          <s v="12.יולי"/>
          <s v="13.יולי"/>
          <s v="14.יולי"/>
          <s v="15.יולי"/>
          <s v="16.יולי"/>
          <s v="17.יולי"/>
          <s v="18.יולי"/>
          <s v="19.יולי"/>
          <s v="20.יולי"/>
          <s v="21.יולי"/>
          <s v="22.יולי"/>
          <s v="23.יולי"/>
          <s v="24.יולי"/>
          <s v="25.יולי"/>
          <s v="26.יולי"/>
          <s v="27.יולי"/>
          <s v="28.יולי"/>
          <s v="29.יולי"/>
          <s v="30.יולי"/>
          <s v="31.יולי"/>
          <s v="1.אוג׳"/>
          <s v="2.אוג׳"/>
          <s v="3.אוג׳"/>
          <s v="4.אוג׳"/>
          <s v="5.אוג׳"/>
          <s v="6.אוג׳"/>
          <s v="7.אוג׳"/>
          <s v="8.אוג׳"/>
          <s v="9.אוג׳"/>
          <s v="10.אוג׳"/>
          <s v="11.אוג׳"/>
          <s v="12.אוג׳"/>
          <s v="13.אוג׳"/>
          <s v="14.אוג׳"/>
          <s v="15.אוג׳"/>
          <s v="16.אוג׳"/>
          <s v="17.אוג׳"/>
          <s v="18.אוג׳"/>
          <s v="19.אוג׳"/>
          <s v="20.אוג׳"/>
          <s v="21.אוג׳"/>
          <s v="22.אוג׳"/>
          <s v="23.אוג׳"/>
          <s v="24.אוג׳"/>
          <s v="25.אוג׳"/>
          <s v="26.אוג׳"/>
          <s v="27.אוג׳"/>
          <s v="28.אוג׳"/>
          <s v="29.אוג׳"/>
          <s v="30.אוג׳"/>
          <s v="31.אוג׳"/>
          <s v="1.ספט׳"/>
          <s v="2.ספט׳"/>
          <s v="3.ספט׳"/>
          <s v="4.ספט׳"/>
          <s v="5.ספט׳"/>
          <s v="6.ספט׳"/>
          <s v="7.ספט׳"/>
          <s v="8.ספט׳"/>
          <s v="9.ספט׳"/>
          <s v="10.ספט׳"/>
          <s v="11.ספט׳"/>
          <s v="12.ספט׳"/>
          <s v="13.ספט׳"/>
          <s v="14.ספט׳"/>
          <s v="15.ספט׳"/>
          <s v="16.ספט׳"/>
          <s v="17.ספט׳"/>
          <s v="18.ספט׳"/>
          <s v="19.ספט׳"/>
          <s v="20.ספט׳"/>
          <s v="21.ספט׳"/>
          <s v="22.ספט׳"/>
          <s v="23.ספט׳"/>
          <s v="24.ספט׳"/>
          <s v="25.ספט׳"/>
          <s v="26.ספט׳"/>
          <s v="27.ספט׳"/>
          <s v="28.ספט׳"/>
          <s v="29.ספט׳"/>
          <s v="30.ספט׳"/>
          <s v="1.אוק׳"/>
          <s v="2.אוק׳"/>
          <s v="3.אוק׳"/>
          <s v="4.אוק׳"/>
          <s v="5.אוק׳"/>
          <s v="6.אוק׳"/>
          <s v="7.אוק׳"/>
          <s v="8.אוק׳"/>
          <s v="9.אוק׳"/>
          <s v="10.אוק׳"/>
          <s v="11.אוק׳"/>
          <s v="12.אוק׳"/>
          <s v="13.אוק׳"/>
          <s v="14.אוק׳"/>
          <s v="15.אוק׳"/>
          <s v="16.אוק׳"/>
          <s v="17.אוק׳"/>
          <s v="18.אוק׳"/>
          <s v="19.אוק׳"/>
          <s v="20.אוק׳"/>
          <s v="21.אוק׳"/>
          <s v="22.אוק׳"/>
          <s v="23.אוק׳"/>
          <s v="24.אוק׳"/>
          <s v="25.אוק׳"/>
          <s v="26.אוק׳"/>
          <s v="27.אוק׳"/>
          <s v="28.אוק׳"/>
          <s v="29.אוק׳"/>
          <s v="30.אוק׳"/>
          <s v="31.אוק׳"/>
          <s v="1.נוב׳"/>
          <s v="2.נוב׳"/>
          <s v="3.נוב׳"/>
          <s v="4.נוב׳"/>
          <s v="5.נוב׳"/>
          <s v="6.נוב׳"/>
          <s v="7.נוב׳"/>
          <s v="8.נוב׳"/>
          <s v="9.נוב׳"/>
          <s v="10.נוב׳"/>
          <s v="11.נוב׳"/>
          <s v="12.נוב׳"/>
          <s v="13.נוב׳"/>
          <s v="14.נוב׳"/>
          <s v="15.נוב׳"/>
          <s v="16.נוב׳"/>
          <s v="17.נוב׳"/>
          <s v="18.נוב׳"/>
          <s v="19.נוב׳"/>
          <s v="20.נוב׳"/>
          <s v="21.נוב׳"/>
          <s v="22.נוב׳"/>
          <s v="23.נוב׳"/>
          <s v="24.נוב׳"/>
          <s v="25.נוב׳"/>
          <s v="26.נוב׳"/>
          <s v="27.נוב׳"/>
          <s v="28.נוב׳"/>
          <s v="29.נוב׳"/>
          <s v="30.נוב׳"/>
          <s v="1.דצמ׳"/>
          <s v="2.דצמ׳"/>
          <s v="3.דצמ׳"/>
          <s v="4.דצמ׳"/>
          <s v="5.דצמ׳"/>
          <s v="6.דצמ׳"/>
          <s v="7.דצמ׳"/>
          <s v="8.דצמ׳"/>
          <s v="9.דצמ׳"/>
          <s v="10.דצמ׳"/>
          <s v="11.דצמ׳"/>
          <s v="12.דצמ׳"/>
          <s v="13.דצמ׳"/>
          <s v="14.דצמ׳"/>
          <s v="15.דצמ׳"/>
          <s v="16.דצמ׳"/>
          <s v="17.דצמ׳"/>
          <s v="18.דצמ׳"/>
          <s v="19.דצמ׳"/>
          <s v="20.דצמ׳"/>
          <s v="21.דצמ׳"/>
          <s v="22.דצמ׳"/>
          <s v="23.דצמ׳"/>
          <s v="24.דצמ׳"/>
          <s v="25.דצמ׳"/>
          <s v="26.דצמ׳"/>
          <s v="27.דצמ׳"/>
          <s v="28.דצמ׳"/>
          <s v="29.דצמ׳"/>
          <s v="30.דצמ׳"/>
          <s v="31.דצמ׳"/>
          <s v="&gt;29.10.2025"/>
        </groupItems>
      </fieldGroup>
    </cacheField>
    <cacheField name="חודשים (date)" numFmtId="0" databaseField="0">
      <fieldGroup base="11">
        <rangePr groupBy="months" startDate="2025-09-15T00:00:00" endDate="2025-10-29T00:00:00"/>
        <groupItems count="14">
          <s v="&lt;15.9.2025"/>
          <s v="ינו׳"/>
          <s v="פבר׳"/>
          <s v="מרץ"/>
          <s v="אפר׳"/>
          <s v="מאי"/>
          <s v="יוני"/>
          <s v="יולי"/>
          <s v="אוג׳"/>
          <s v="ספט׳"/>
          <s v="אוק׳"/>
          <s v="נוב׳"/>
          <s v="דצמ׳"/>
          <s v="&gt;29.10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1"/>
    <x v="0"/>
    <x v="0"/>
    <n v="6"/>
    <n v="13"/>
    <n v="21"/>
    <n v="0"/>
    <n v="0"/>
    <n v="2"/>
    <x v="0"/>
    <x v="0"/>
    <x v="0"/>
    <x v="0"/>
    <s v="beitar_jerusalem"/>
    <s v="dorMicha"/>
    <s v="yardenShua"/>
    <s v="Won"/>
    <x v="0"/>
    <x v="0"/>
    <n v="10"/>
    <s v="יום שלישי"/>
    <s v="אוקטובר"/>
    <n v="1"/>
    <s v="Yes"/>
    <x v="0"/>
  </r>
  <r>
    <n v="12"/>
    <x v="0"/>
    <x v="1"/>
    <n v="8"/>
    <n v="10"/>
    <n v="11"/>
    <n v="4"/>
    <n v="0"/>
    <n v="0"/>
    <x v="0"/>
    <x v="1"/>
    <x v="1"/>
    <x v="1"/>
    <s v="hapoel_haifa"/>
    <s v="ofekBiton"/>
    <s v="None"/>
    <s v="Won"/>
    <x v="0"/>
    <x v="0"/>
    <n v="10"/>
    <s v="יום שבת"/>
    <s v="אוקטובר"/>
    <n v="0"/>
    <s v="No"/>
    <x v="1"/>
  </r>
  <r>
    <n v="13"/>
    <x v="0"/>
    <x v="2"/>
    <n v="8"/>
    <n v="15"/>
    <n v="17"/>
    <n v="2"/>
    <n v="0"/>
    <n v="1"/>
    <x v="1"/>
    <x v="2"/>
    <x v="2"/>
    <x v="2"/>
    <s v="None"/>
    <s v="None"/>
    <s v="None"/>
    <s v="Tie"/>
    <x v="0"/>
    <x v="1"/>
    <n v="10"/>
    <s v="יום שני"/>
    <s v="אוקטובר"/>
    <n v="0"/>
    <s v="No"/>
    <x v="0"/>
  </r>
  <r>
    <n v="14"/>
    <x v="0"/>
    <x v="3"/>
    <n v="3"/>
    <n v="9"/>
    <n v="7"/>
    <n v="4"/>
    <n v="1"/>
    <n v="1"/>
    <x v="2"/>
    <x v="3"/>
    <x v="3"/>
    <x v="3"/>
    <s v="Ashdod"/>
    <s v="shavitMazal"/>
    <s v="NadavAvivNiddam"/>
    <s v="Won"/>
    <x v="0"/>
    <x v="0"/>
    <n v="10"/>
    <s v="יום שבת"/>
    <s v="אוקטובר"/>
    <n v="0"/>
    <s v="No"/>
    <x v="1"/>
  </r>
  <r>
    <n v="15"/>
    <x v="0"/>
    <x v="4"/>
    <n v="7"/>
    <n v="9"/>
    <n v="11"/>
    <n v="2"/>
    <n v="0"/>
    <n v="1"/>
    <x v="0"/>
    <x v="0"/>
    <x v="4"/>
    <x v="1"/>
    <s v="bney_reine"/>
    <s v="antonioSefer"/>
    <s v="None"/>
    <s v="Won"/>
    <x v="0"/>
    <x v="0"/>
    <n v="9"/>
    <s v="יום שבת"/>
    <s v="ספטמבר"/>
    <n v="0"/>
    <s v="No"/>
    <x v="1"/>
  </r>
  <r>
    <n v="21"/>
    <x v="1"/>
    <x v="0"/>
    <n v="5"/>
    <n v="14"/>
    <n v="15"/>
    <n v="2"/>
    <n v="0"/>
    <n v="7"/>
    <x v="3"/>
    <x v="0"/>
    <x v="0"/>
    <x v="4"/>
    <s v="beitar_jerusalem"/>
    <s v="dorMicha"/>
    <s v="yardenShua"/>
    <s v="Lose"/>
    <x v="1"/>
    <x v="2"/>
    <n v="10"/>
    <s v="יום שלישי"/>
    <s v="אוקטובר"/>
    <n v="0"/>
    <s v="No"/>
    <x v="0"/>
  </r>
  <r>
    <n v="22"/>
    <x v="1"/>
    <x v="1"/>
    <n v="4"/>
    <n v="11"/>
    <n v="12"/>
    <n v="4"/>
    <n v="1"/>
    <n v="0"/>
    <x v="0"/>
    <x v="4"/>
    <x v="1"/>
    <x v="2"/>
    <s v="maccabi_Natanya"/>
    <s v="maorLevi"/>
    <s v="KarmJaber"/>
    <s v="Lose"/>
    <x v="1"/>
    <x v="2"/>
    <n v="10"/>
    <s v="יום שבת"/>
    <s v="אוקטובר"/>
    <n v="0"/>
    <s v="No"/>
    <x v="0"/>
  </r>
  <r>
    <n v="23"/>
    <x v="1"/>
    <x v="3"/>
    <n v="4"/>
    <n v="23"/>
    <n v="16"/>
    <n v="6"/>
    <n v="0"/>
    <n v="0"/>
    <x v="4"/>
    <x v="3"/>
    <x v="3"/>
    <x v="4"/>
    <s v="Hapoel_beer_sheva"/>
    <s v="ofirDavidzada"/>
    <s v="matanBalaxa"/>
    <s v="Lose"/>
    <x v="1"/>
    <x v="2"/>
    <n v="10"/>
    <s v="יום שבת"/>
    <s v="אוקטובר"/>
    <n v="0"/>
    <s v="No"/>
    <x v="0"/>
  </r>
  <r>
    <n v="24"/>
    <x v="1"/>
    <x v="4"/>
    <n v="11"/>
    <n v="16"/>
    <n v="7"/>
    <n v="2"/>
    <n v="0"/>
    <n v="1"/>
    <x v="0"/>
    <x v="5"/>
    <x v="4"/>
    <x v="4"/>
    <s v="hapoel_tel_aviv"/>
    <s v="royKorine"/>
    <s v="andrianKraev"/>
    <s v="Won"/>
    <x v="1"/>
    <x v="0"/>
    <n v="9"/>
    <s v="יום שבת"/>
    <s v="ספטמבר"/>
    <n v="1"/>
    <s v="Yes"/>
    <x v="0"/>
  </r>
  <r>
    <n v="25"/>
    <x v="1"/>
    <x v="5"/>
    <n v="4"/>
    <n v="19"/>
    <n v="16"/>
    <n v="3"/>
    <n v="0"/>
    <n v="1"/>
    <x v="5"/>
    <x v="0"/>
    <x v="5"/>
    <x v="5"/>
    <s v="Ashdod"/>
    <s v="karimKimvuidi"/>
    <s v="eugeneAnsah"/>
    <s v="Won"/>
    <x v="1"/>
    <x v="0"/>
    <n v="9"/>
    <s v="יום שבת"/>
    <s v="ספטמבר"/>
    <n v="0"/>
    <s v="No"/>
    <x v="1"/>
  </r>
  <r>
    <n v="31"/>
    <x v="2"/>
    <x v="1"/>
    <n v="4"/>
    <n v="11"/>
    <n v="10"/>
    <n v="4"/>
    <n v="0"/>
    <n v="5"/>
    <x v="6"/>
    <x v="6"/>
    <x v="1"/>
    <x v="0"/>
    <s v="hapoel_haifa"/>
    <s v="ofekBiton"/>
    <s v="None"/>
    <s v="Lose"/>
    <x v="2"/>
    <x v="2"/>
    <n v="10"/>
    <s v="יום שבת"/>
    <s v="אוקטובר"/>
    <n v="1"/>
    <s v="No"/>
    <x v="0"/>
  </r>
  <r>
    <n v="32"/>
    <x v="2"/>
    <x v="4"/>
    <n v="5"/>
    <n v="7"/>
    <n v="15"/>
    <n v="4"/>
    <n v="0"/>
    <n v="2"/>
    <x v="7"/>
    <x v="6"/>
    <x v="4"/>
    <x v="2"/>
    <s v="hapoel_tel_aviv"/>
    <s v="royKorine"/>
    <s v="andrianKraev"/>
    <s v="Lose"/>
    <x v="2"/>
    <x v="2"/>
    <n v="9"/>
    <s v="יום שבת"/>
    <s v="ספטמבר"/>
    <n v="0"/>
    <s v="No"/>
    <x v="0"/>
  </r>
  <r>
    <n v="33"/>
    <x v="2"/>
    <x v="2"/>
    <n v="4"/>
    <n v="12"/>
    <n v="16"/>
    <n v="2"/>
    <n v="0"/>
    <n v="4"/>
    <x v="0"/>
    <x v="3"/>
    <x v="6"/>
    <x v="0"/>
    <s v="bney_reine"/>
    <s v="zeTurbo"/>
    <s v="emmanuelBanda"/>
    <s v="Won"/>
    <x v="2"/>
    <x v="0"/>
    <n v="10"/>
    <s v="יום שבת"/>
    <s v="אוקטובר"/>
    <n v="0"/>
    <s v="No"/>
    <x v="1"/>
  </r>
  <r>
    <n v="34"/>
    <x v="2"/>
    <x v="3"/>
    <n v="7"/>
    <n v="19"/>
    <n v="18"/>
    <n v="3"/>
    <n v="0"/>
    <n v="1"/>
    <x v="4"/>
    <x v="7"/>
    <x v="3"/>
    <x v="2"/>
    <s v="None"/>
    <s v="None"/>
    <s v="None"/>
    <s v="Tie"/>
    <x v="2"/>
    <x v="1"/>
    <n v="10"/>
    <s v="יום שבת"/>
    <s v="אוקטובר"/>
    <n v="0"/>
    <s v="No"/>
    <x v="0"/>
  </r>
  <r>
    <n v="35"/>
    <x v="2"/>
    <x v="5"/>
    <n v="2"/>
    <n v="14"/>
    <n v="14"/>
    <n v="4"/>
    <n v="0"/>
    <n v="0"/>
    <x v="6"/>
    <x v="8"/>
    <x v="7"/>
    <x v="4"/>
    <s v="Tie"/>
    <s v="trivateStewart"/>
    <s v="sufPodgoreanu"/>
    <s v="Tie"/>
    <x v="2"/>
    <x v="1"/>
    <n v="9"/>
    <s v="יום ראשון"/>
    <s v="ספטמבר"/>
    <n v="0"/>
    <s v="No"/>
    <x v="0"/>
  </r>
  <r>
    <n v="41"/>
    <x v="3"/>
    <x v="2"/>
    <n v="2"/>
    <n v="17"/>
    <n v="15"/>
    <n v="3"/>
    <n v="0"/>
    <n v="3"/>
    <x v="7"/>
    <x v="2"/>
    <x v="2"/>
    <x v="2"/>
    <s v="None"/>
    <s v="None"/>
    <s v="None"/>
    <s v="Tie"/>
    <x v="3"/>
    <x v="1"/>
    <n v="10"/>
    <s v="יום שני"/>
    <s v="אוקטובר"/>
    <n v="0"/>
    <s v="No"/>
    <x v="0"/>
  </r>
  <r>
    <n v="42"/>
    <x v="3"/>
    <x v="1"/>
    <n v="5"/>
    <n v="10"/>
    <n v="11"/>
    <n v="1"/>
    <n v="0"/>
    <n v="1"/>
    <x v="4"/>
    <x v="6"/>
    <x v="3"/>
    <x v="0"/>
    <s v="Ashdod"/>
    <s v="jeanBatoum"/>
    <s v="eugeneAnsah"/>
    <s v="Won"/>
    <x v="3"/>
    <x v="0"/>
    <n v="10"/>
    <s v="יום שבת"/>
    <s v="אוקטובר"/>
    <n v="1"/>
    <s v="Yes"/>
    <x v="0"/>
  </r>
  <r>
    <n v="43"/>
    <x v="3"/>
    <x v="4"/>
    <n v="4"/>
    <n v="15"/>
    <n v="18"/>
    <n v="3"/>
    <n v="0"/>
    <n v="1"/>
    <x v="6"/>
    <x v="2"/>
    <x v="4"/>
    <x v="0"/>
    <s v="Ashdod"/>
    <s v="adrianUgarriza"/>
    <s v="mohamadAbuRumi"/>
    <s v="Won"/>
    <x v="3"/>
    <x v="0"/>
    <n v="9"/>
    <s v="יום שבת"/>
    <s v="ספטמבר"/>
    <n v="1"/>
    <s v="Yes"/>
    <x v="0"/>
  </r>
  <r>
    <n v="44"/>
    <x v="3"/>
    <x v="5"/>
    <n v="2"/>
    <n v="16"/>
    <n v="19"/>
    <n v="3"/>
    <n v="0"/>
    <n v="0"/>
    <x v="4"/>
    <x v="3"/>
    <x v="5"/>
    <x v="0"/>
    <s v="Ashdod"/>
    <s v="karimKimvuidi"/>
    <s v="eugeneAnsah"/>
    <s v="Lose"/>
    <x v="3"/>
    <x v="2"/>
    <n v="9"/>
    <s v="יום שבת"/>
    <s v="ספטמבר"/>
    <n v="1"/>
    <s v="No"/>
    <x v="0"/>
  </r>
  <r>
    <n v="45"/>
    <x v="3"/>
    <x v="6"/>
    <n v="4"/>
    <n v="15"/>
    <n v="13"/>
    <n v="5"/>
    <n v="0"/>
    <n v="1"/>
    <x v="3"/>
    <x v="2"/>
    <x v="8"/>
    <x v="4"/>
    <s v="maccabi_haifa"/>
    <s v="trivateStewart"/>
    <s v="ethaneAzoulay"/>
    <s v="Lose"/>
    <x v="3"/>
    <x v="2"/>
    <n v="9"/>
    <s v="יום שני"/>
    <s v="ספטמבר"/>
    <n v="0"/>
    <s v="No"/>
    <x v="0"/>
  </r>
  <r>
    <n v="51"/>
    <x v="4"/>
    <x v="4"/>
    <n v="3"/>
    <n v="12"/>
    <n v="8"/>
    <n v="5"/>
    <n v="0"/>
    <n v="4"/>
    <x v="4"/>
    <x v="0"/>
    <x v="4"/>
    <x v="4"/>
    <s v="bney_reine"/>
    <s v="antonioSefer"/>
    <s v="None"/>
    <s v="Lose"/>
    <x v="4"/>
    <x v="2"/>
    <n v="9"/>
    <s v="יום שבת"/>
    <s v="ספטמבר"/>
    <n v="1"/>
    <s v="No"/>
    <x v="0"/>
  </r>
  <r>
    <n v="52"/>
    <x v="4"/>
    <x v="2"/>
    <n v="4"/>
    <n v="16"/>
    <n v="12"/>
    <n v="6"/>
    <n v="1"/>
    <n v="7"/>
    <x v="5"/>
    <x v="3"/>
    <x v="6"/>
    <x v="4"/>
    <s v="bney_reine"/>
    <s v="zeTurbo"/>
    <s v="emmanuelBanda"/>
    <s v="Lose"/>
    <x v="4"/>
    <x v="2"/>
    <n v="10"/>
    <s v="יום שבת"/>
    <s v="אוקטובר"/>
    <n v="1"/>
    <s v="No"/>
    <x v="0"/>
  </r>
  <r>
    <n v="53"/>
    <x v="4"/>
    <x v="1"/>
    <n v="8"/>
    <n v="11"/>
    <n v="9"/>
    <n v="3"/>
    <n v="0"/>
    <n v="3"/>
    <x v="4"/>
    <x v="6"/>
    <x v="3"/>
    <x v="2"/>
    <s v="Ashdod"/>
    <s v="jeanBatoum"/>
    <s v="eugeneAnsah"/>
    <s v="Lose"/>
    <x v="4"/>
    <x v="2"/>
    <n v="10"/>
    <s v="יום שבת"/>
    <s v="אוקטובר"/>
    <n v="0"/>
    <s v="No"/>
    <x v="0"/>
  </r>
  <r>
    <n v="54"/>
    <x v="4"/>
    <x v="4"/>
    <n v="3"/>
    <n v="12"/>
    <n v="8"/>
    <n v="5"/>
    <n v="0"/>
    <n v="4"/>
    <x v="4"/>
    <x v="8"/>
    <x v="4"/>
    <x v="4"/>
    <s v="bney_reine"/>
    <s v="antonioSefer"/>
    <s v="None"/>
    <s v="Lose"/>
    <x v="4"/>
    <x v="2"/>
    <n v="9"/>
    <s v="יום שבת"/>
    <s v="ספטמבר"/>
    <n v="1"/>
    <s v="No"/>
    <x v="0"/>
  </r>
  <r>
    <n v="55"/>
    <x v="4"/>
    <x v="5"/>
    <n v="1"/>
    <n v="15"/>
    <n v="9"/>
    <n v="4"/>
    <n v="0"/>
    <n v="1"/>
    <x v="6"/>
    <x v="0"/>
    <x v="5"/>
    <x v="4"/>
    <s v="hapoel_petach_tikva"/>
    <s v="cle"/>
    <s v="tomerAltman"/>
    <s v="Lose"/>
    <x v="4"/>
    <x v="2"/>
    <n v="9"/>
    <s v="יום שבת"/>
    <s v="ספטמבר"/>
    <n v="0"/>
    <s v="No"/>
    <x v="0"/>
  </r>
  <r>
    <n v="61"/>
    <x v="5"/>
    <x v="1"/>
    <n v="5"/>
    <n v="12"/>
    <n v="11"/>
    <n v="4"/>
    <n v="0"/>
    <n v="1"/>
    <x v="2"/>
    <x v="9"/>
    <x v="1"/>
    <x v="0"/>
    <s v="maccabi_Natanya"/>
    <s v="maorLevi"/>
    <s v="KarmJaber"/>
    <s v="Lose"/>
    <x v="5"/>
    <x v="2"/>
    <n v="10"/>
    <s v="יום שבת"/>
    <s v="אוקטובר"/>
    <n v="1"/>
    <s v="No"/>
    <x v="0"/>
  </r>
  <r>
    <n v="62"/>
    <x v="5"/>
    <x v="2"/>
    <n v="6"/>
    <n v="12"/>
    <n v="10"/>
    <n v="1"/>
    <n v="0"/>
    <n v="2"/>
    <x v="8"/>
    <x v="10"/>
    <x v="6"/>
    <x v="1"/>
    <s v="maccabi_haifa"/>
    <s v="dolevHaziza"/>
    <s v="None"/>
    <s v="Won"/>
    <x v="5"/>
    <x v="0"/>
    <n v="10"/>
    <s v="יום שבת"/>
    <s v="אוקטובר"/>
    <n v="0"/>
    <s v="No"/>
    <x v="1"/>
  </r>
  <r>
    <n v="63"/>
    <x v="5"/>
    <x v="3"/>
    <n v="6"/>
    <n v="19"/>
    <n v="15"/>
    <n v="2"/>
    <n v="2"/>
    <n v="3"/>
    <x v="2"/>
    <x v="10"/>
    <x v="9"/>
    <x v="4"/>
    <s v="bnei_sakhnin"/>
    <s v="ahmedTaha"/>
    <s v="jubayerBushnaq"/>
    <s v="Lose"/>
    <x v="5"/>
    <x v="2"/>
    <n v="10"/>
    <s v="יום ראשון"/>
    <s v="אוקטובר"/>
    <n v="0"/>
    <s v="No"/>
    <x v="0"/>
  </r>
  <r>
    <n v="64"/>
    <x v="5"/>
    <x v="4"/>
    <n v="4"/>
    <n v="12"/>
    <n v="6"/>
    <n v="0"/>
    <n v="0"/>
    <n v="0"/>
    <x v="4"/>
    <x v="7"/>
    <x v="4"/>
    <x v="0"/>
    <s v="hapoel_jerusalem"/>
    <s v="ilayMadmon"/>
    <s v="andrewIdoko"/>
    <s v="Won"/>
    <x v="5"/>
    <x v="0"/>
    <n v="9"/>
    <s v="יום שבת"/>
    <s v="ספטמבר"/>
    <n v="0"/>
    <s v="No"/>
    <x v="1"/>
  </r>
  <r>
    <n v="65"/>
    <x v="5"/>
    <x v="5"/>
    <n v="10"/>
    <n v="14"/>
    <n v="10"/>
    <n v="3"/>
    <n v="0"/>
    <n v="0"/>
    <x v="9"/>
    <x v="2"/>
    <x v="5"/>
    <x v="3"/>
    <s v="ironi_tiberias"/>
    <s v="peterMichael"/>
    <s v="EliyahuBelilti"/>
    <s v="Won"/>
    <x v="5"/>
    <x v="0"/>
    <n v="9"/>
    <s v="יום שבת"/>
    <s v="ספטמבר"/>
    <n v="0"/>
    <s v="No"/>
    <x v="1"/>
  </r>
  <r>
    <n v="71"/>
    <x v="6"/>
    <x v="3"/>
    <n v="5"/>
    <n v="18"/>
    <n v="17"/>
    <n v="5"/>
    <n v="0"/>
    <n v="1"/>
    <x v="4"/>
    <x v="7"/>
    <x v="3"/>
    <x v="2"/>
    <s v="None"/>
    <s v="None"/>
    <s v="None"/>
    <s v="Tie"/>
    <x v="6"/>
    <x v="1"/>
    <n v="10"/>
    <s v="יום שבת"/>
    <s v="אוקטובר"/>
    <n v="0"/>
    <s v="No"/>
    <x v="0"/>
  </r>
  <r>
    <n v="72"/>
    <x v="6"/>
    <x v="4"/>
    <n v="6"/>
    <n v="18"/>
    <n v="15"/>
    <n v="2"/>
    <n v="0"/>
    <n v="7"/>
    <x v="3"/>
    <x v="10"/>
    <x v="4"/>
    <x v="0"/>
    <s v="Ashdod"/>
    <s v="adrianUgarriza"/>
    <s v="mohamadAbuRumi"/>
    <s v="Lose"/>
    <x v="6"/>
    <x v="2"/>
    <n v="9"/>
    <s v="יום שבת"/>
    <s v="ספטמבר"/>
    <n v="0"/>
    <s v="No"/>
    <x v="0"/>
  </r>
  <r>
    <n v="73"/>
    <x v="6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74"/>
    <x v="6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75"/>
    <x v="6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81"/>
    <x v="7"/>
    <x v="5"/>
    <n v="7"/>
    <n v="14"/>
    <n v="14"/>
    <n v="3"/>
    <n v="0"/>
    <n v="3"/>
    <x v="0"/>
    <x v="8"/>
    <x v="7"/>
    <x v="4"/>
    <s v="maccabi_haifa"/>
    <s v="trivateStewart"/>
    <s v="sufPodgoreanu"/>
    <s v="Tie"/>
    <x v="8"/>
    <x v="1"/>
    <n v="9"/>
    <s v="יום ראשון"/>
    <s v="ספטמבר"/>
    <n v="1"/>
    <s v="No"/>
    <x v="0"/>
  </r>
  <r>
    <n v="82"/>
    <x v="7"/>
    <x v="6"/>
    <n v="5"/>
    <n v="13"/>
    <n v="13"/>
    <n v="1"/>
    <n v="0"/>
    <n v="6"/>
    <x v="11"/>
    <x v="1"/>
    <x v="8"/>
    <x v="3"/>
    <s v="maccabi_haifa"/>
    <s v="trivateStewart"/>
    <s v="ethaneAzoulay"/>
    <s v="Won"/>
    <x v="8"/>
    <x v="0"/>
    <n v="9"/>
    <s v="יום שני"/>
    <s v="ספטמבר"/>
    <n v="1"/>
    <s v="Yes"/>
    <x v="0"/>
  </r>
  <r>
    <n v="83"/>
    <x v="7"/>
    <x v="2"/>
    <n v="5"/>
    <n v="11"/>
    <n v="10"/>
    <n v="3"/>
    <n v="0"/>
    <n v="1"/>
    <x v="6"/>
    <x v="6"/>
    <x v="6"/>
    <x v="1"/>
    <s v="maccabi_haifa"/>
    <s v="dolevHaziza"/>
    <s v="None"/>
    <s v="Lose"/>
    <x v="8"/>
    <x v="2"/>
    <n v="10"/>
    <s v="יום שבת"/>
    <s v="אוקטובר"/>
    <n v="1"/>
    <s v="No"/>
    <x v="0"/>
  </r>
  <r>
    <n v="84"/>
    <x v="7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85"/>
    <x v="7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91"/>
    <x v="8"/>
    <x v="5"/>
    <n v="7"/>
    <n v="9"/>
    <n v="14"/>
    <n v="0"/>
    <n v="0"/>
    <n v="2"/>
    <x v="9"/>
    <x v="2"/>
    <x v="5"/>
    <x v="5"/>
    <s v="hapoel_petach_tikva"/>
    <s v="cle"/>
    <s v="tomerAltman"/>
    <s v="Won"/>
    <x v="9"/>
    <x v="0"/>
    <n v="9"/>
    <s v="יום שבת"/>
    <s v="ספטמבר"/>
    <n v="1"/>
    <s v="Yes"/>
    <x v="0"/>
  </r>
  <r>
    <n v="92"/>
    <x v="8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93"/>
    <x v="8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94"/>
    <x v="8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95"/>
    <x v="8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01"/>
    <x v="9"/>
    <x v="3"/>
    <n v="4"/>
    <n v="16"/>
    <n v="18"/>
    <n v="2"/>
    <n v="0"/>
    <n v="1"/>
    <x v="0"/>
    <x v="7"/>
    <x v="9"/>
    <x v="0"/>
    <s v="bnei_sakhnin"/>
    <s v="ahmedTaha"/>
    <s v="jubayerBushnaq"/>
    <s v="Won"/>
    <x v="7"/>
    <x v="0"/>
    <n v="10"/>
    <s v="יום ראשון"/>
    <s v="אוקטובר"/>
    <n v="1"/>
    <s v="Yes"/>
    <x v="0"/>
  </r>
  <r>
    <n v="102"/>
    <x v="9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03"/>
    <x v="9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04"/>
    <x v="9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05"/>
    <x v="9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11"/>
    <x v="10"/>
    <x v="4"/>
    <n v="2"/>
    <n v="6"/>
    <n v="12"/>
    <n v="0"/>
    <n v="0"/>
    <n v="4"/>
    <x v="3"/>
    <x v="0"/>
    <x v="4"/>
    <x v="4"/>
    <s v="hapoel_jerusalem"/>
    <s v="ilayMadmon"/>
    <s v="andrewIdoko"/>
    <s v="Lose"/>
    <x v="7"/>
    <x v="2"/>
    <n v="9"/>
    <s v="יום שבת"/>
    <s v="ספטמבר"/>
    <n v="1"/>
    <s v="No"/>
    <x v="0"/>
  </r>
  <r>
    <n v="112"/>
    <x v="10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13"/>
    <x v="10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14"/>
    <x v="10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15"/>
    <x v="10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21"/>
    <x v="11"/>
    <x v="5"/>
    <n v="5"/>
    <n v="11"/>
    <n v="14"/>
    <n v="3"/>
    <n v="0"/>
    <n v="1"/>
    <x v="8"/>
    <x v="8"/>
    <x v="5"/>
    <x v="0"/>
    <s v="ironi_tiberias"/>
    <s v="peterMichael"/>
    <s v="EliyahuBelilti"/>
    <s v="Lose"/>
    <x v="10"/>
    <x v="2"/>
    <n v="9"/>
    <s v="יום שבת"/>
    <s v="ספטמבר"/>
    <n v="1"/>
    <s v="No"/>
    <x v="0"/>
  </r>
  <r>
    <n v="122"/>
    <x v="11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23"/>
    <x v="11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24"/>
    <x v="11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  <r>
    <n v="125"/>
    <x v="11"/>
    <x v="7"/>
    <m/>
    <m/>
    <m/>
    <m/>
    <m/>
    <m/>
    <x v="10"/>
    <x v="11"/>
    <x v="10"/>
    <x v="6"/>
    <m/>
    <m/>
    <m/>
    <m/>
    <x v="7"/>
    <x v="1"/>
    <n v="1"/>
    <s v="יום שבת"/>
    <s v="ינואר"/>
    <n v="0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CA433-CAFE-8E47-8B94-1AAC60FB2FFD}" name="PivotTable1" cacheId="13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3:D17" firstHeaderRow="1" firstDataRow="2" firstDataCol="1"/>
  <pivotFields count="27">
    <pivotField showAll="0"/>
    <pivotField axis="axisRow" showAll="0">
      <items count="13">
        <item x="3"/>
        <item x="0"/>
        <item x="9"/>
        <item x="4"/>
        <item x="2"/>
        <item x="10"/>
        <item x="8"/>
        <item x="1"/>
        <item x="11"/>
        <item x="6"/>
        <item x="7"/>
        <item x="5"/>
        <item t="default"/>
      </items>
    </pivotField>
    <pivotField showAll="0">
      <items count="9">
        <item x="6"/>
        <item x="5"/>
        <item x="4"/>
        <item x="3"/>
        <item x="2"/>
        <item x="1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8"/>
        <item x="5"/>
        <item x="7"/>
        <item x="4"/>
        <item x="3"/>
        <item x="9"/>
        <item x="6"/>
        <item x="2"/>
        <item x="1"/>
        <item x="0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4"/>
  </colFields>
  <colItems count="3">
    <i>
      <x/>
    </i>
    <i>
      <x v="1"/>
    </i>
    <i t="grand">
      <x/>
    </i>
  </colItems>
  <dataFields count="1">
    <dataField name="ספירה של NONscoreFirstWon" fld="24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77A24-54A8-F043-8726-C26B7520831C}" name="PivotTable2" cacheId="13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5">
  <location ref="A3:E17" firstHeaderRow="1" firstDataRow="2" firstDataCol="1"/>
  <pivotFields count="27">
    <pivotField showAll="0"/>
    <pivotField axis="axisRow" showAll="0">
      <items count="13">
        <item x="3"/>
        <item x="0"/>
        <item x="9"/>
        <item x="4"/>
        <item x="2"/>
        <item x="10"/>
        <item x="8"/>
        <item x="1"/>
        <item x="11"/>
        <item x="6"/>
        <item x="7"/>
        <item x="5"/>
        <item t="default"/>
      </items>
    </pivotField>
    <pivotField showAll="0">
      <items count="9">
        <item x="6"/>
        <item x="5"/>
        <item x="4"/>
        <item x="3"/>
        <item x="2"/>
        <item x="1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3">
        <item x="7"/>
        <item x="3"/>
        <item x="4"/>
        <item x="6"/>
        <item x="0"/>
        <item x="8"/>
        <item x="2"/>
        <item x="5"/>
        <item x="11"/>
        <item x="1"/>
        <item x="9"/>
        <item x="10"/>
        <item t="default"/>
      </items>
    </pivotField>
    <pivotField showAll="0">
      <items count="13">
        <item x="9"/>
        <item x="3"/>
        <item x="8"/>
        <item x="0"/>
        <item x="2"/>
        <item x="6"/>
        <item x="10"/>
        <item x="1"/>
        <item x="4"/>
        <item x="7"/>
        <item x="5"/>
        <item x="11"/>
        <item t="default"/>
      </items>
    </pivotField>
    <pivotField showAll="0">
      <items count="12">
        <item x="8"/>
        <item x="5"/>
        <item x="7"/>
        <item x="4"/>
        <item x="3"/>
        <item x="9"/>
        <item x="6"/>
        <item x="2"/>
        <item x="1"/>
        <item x="0"/>
        <item x="10"/>
        <item t="default"/>
      </items>
    </pivotField>
    <pivotField dataField="1" showAll="0">
      <items count="8">
        <item x="2"/>
        <item x="4"/>
        <item x="0"/>
        <item x="1"/>
        <item x="3"/>
        <item x="5"/>
        <item x="6"/>
        <item t="default"/>
      </items>
    </pivotField>
    <pivotField showAll="0"/>
    <pivotField showAll="0"/>
    <pivotField showAll="0"/>
    <pivotField showAll="0"/>
    <pivotField showAll="0">
      <items count="12">
        <item x="0"/>
        <item x="4"/>
        <item x="2"/>
        <item x="9"/>
        <item x="1"/>
        <item x="8"/>
        <item x="5"/>
        <item x="3"/>
        <item x="10"/>
        <item x="6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סכום של Goal" fld="12" baseField="0" baseItem="0"/>
  </dataFields>
  <chartFormats count="15"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1208A-C0B2-144C-8D8A-BE3E3A8F4ABA}" name="data" displayName="data" ref="A1:AD72" totalsRowShown="0">
  <autoFilter ref="A1:AD72" xr:uid="{7881208A-C0B2-144C-8D8A-BE3E3A8F4ABA}"/>
  <tableColumns count="30">
    <tableColumn id="1" xr3:uid="{493998B7-22ED-5C4A-8BCD-C1FE3D601023}" name="teamId"/>
    <tableColumn id="2" xr3:uid="{37E91029-8C9F-934E-9A6E-F85DA5554E0E}" name="teamName" dataDxfId="16"/>
    <tableColumn id="3" xr3:uid="{ACFA44DA-9A6A-8C4C-9728-7C92DD8E3340}" name="tourment"/>
    <tableColumn id="4" xr3:uid="{80ED790F-DBDE-9A45-8E41-95B7486776D4}" name="Corner"/>
    <tableColumn id="5" xr3:uid="{0757121D-3681-5244-8B54-4799F6C4E129}" name="Fouls"/>
    <tableColumn id="6" xr3:uid="{C6C11789-C6A7-2241-BBBF-A70D0B74AB54}" name="freeKick" dataDxfId="15"/>
    <tableColumn id="7" xr3:uid="{A0F8E02D-CA39-1742-8A1B-5DEBEF113DF7}" name="yCard" dataDxfId="14"/>
    <tableColumn id="8" xr3:uid="{8CF4C784-B579-A24D-8AE8-373AF6A49DA3}" name="rCard" dataDxfId="13"/>
    <tableColumn id="9" xr3:uid="{D59F3769-D9EC-0242-A9CF-377DD2E2DC17}" name="OffSide" dataDxfId="12"/>
    <tableColumn id="10" xr3:uid="{F01C7ACB-6F8A-CB4B-AB96-DB8C11C33DD8}" name="targetShot" dataDxfId="11"/>
    <tableColumn id="11" xr3:uid="{DD1ADC92-BB6C-504D-BDC6-8D0F499EEB06}" name="TargetOffShot" dataDxfId="10"/>
    <tableColumn id="12" xr3:uid="{A3478C64-F54F-8148-A984-C51E5314C2EC}" name="date"/>
    <tableColumn id="13" xr3:uid="{C767B3AB-7394-8943-8295-CF4F6EEE12B7}" name="Goal" dataDxfId="9"/>
    <tableColumn id="14" xr3:uid="{6C451113-F9A9-C946-A196-7A7DD5DDF404}" name="firstTeamScore" dataDxfId="8"/>
    <tableColumn id="15" xr3:uid="{8D65045B-EFAD-DD4D-A7CF-97C0BEAB6446}" name="firstPlayerScore"/>
    <tableColumn id="16" xr3:uid="{6DF0FAD8-43A0-3C4F-B5A2-1E5EF38EA224}" name="FirstPlayerAssist"/>
    <tableColumn id="17" xr3:uid="{79B30D6D-9A50-2046-A41E-99172C7E1987}" name="matchResult"/>
    <tableColumn id="26" xr3:uid="{AD78E8EC-4798-7F41-BD15-91D40D6D22DA}" name="originalURL" dataDxfId="7">
      <calculatedColumnFormula>"&lt;img src=""" &amp; U2 &amp; """ width=""50""&gt;"</calculatedColumnFormula>
    </tableColumn>
    <tableColumn id="29" xr3:uid="{276BBCBA-9D09-3140-94D6-A73C750374F8}" name="url" dataDxfId="6">
      <calculatedColumnFormula array="1">_xlfn.TEXTJOIN("/", TRUE, INDEX(_xlfn.TEXTSPLIT(data[[#This Row],[image]], "/"), _xlfn.SEQUENCE(3,,COUNTA(_xlfn.TEXTSPLIT(data[[#This Row],[image]], "/"))-2)))</calculatedColumnFormula>
    </tableColumn>
    <tableColumn id="31" xr3:uid="{F0C90129-4408-CA4B-B137-BDC2F733E243}" name="oneUrl" dataDxfId="0">
      <calculatedColumnFormula array="1">INDEX(_xlfn.TEXTSPLIT(U2,"il"),2)</calculatedColumnFormula>
    </tableColumn>
    <tableColumn id="18" xr3:uid="{899B16A3-EADD-7043-BF81-C0F6E066C5D3}" name="image"/>
    <tableColumn id="19" xr3:uid="{5910A4BB-F15C-DC40-AC85-804D87294559}" name="point"/>
    <tableColumn id="20" xr3:uid="{ED51ECBD-C65F-B849-9D7C-07637DFDA845}" name="month">
      <calculatedColumnFormula>MONTH(L2)</calculatedColumnFormula>
    </tableColumn>
    <tableColumn id="21" xr3:uid="{3EA68EE4-F7C5-2446-9CC0-BB8053CDBBF0}" name="nameDay">
      <calculatedColumnFormula>TEXT(L2,"dddd")</calculatedColumnFormula>
    </tableColumn>
    <tableColumn id="22" xr3:uid="{EDD058FC-F442-444D-A310-C4932A334C2B}" name="nameMonth">
      <calculatedColumnFormula>TEXT(L2,"mmmm")</calculatedColumnFormula>
    </tableColumn>
    <tableColumn id="23" xr3:uid="{1951B313-B477-4B42-8690-A9027B611983}" name="teamNameScoreFirst" dataDxfId="5">
      <calculatedColumnFormula>IF(B2=N2,1,0)</calculatedColumnFormula>
    </tableColumn>
    <tableColumn id="24" xr3:uid="{10572D1B-07DC-E740-A223-728B576CA0AE}" name="scoreFirstWon" dataDxfId="4">
      <calculatedColumnFormula>IF(Z2=1,IF(Q2="Won","Yes","No"),"No")</calculatedColumnFormula>
    </tableColumn>
    <tableColumn id="25" xr3:uid="{DA558239-94F7-CF45-B102-9C7C0DF75254}" name="NONscoreFirstWon" dataDxfId="3">
      <calculatedColumnFormula>IF(Z2=0,IF(Q2="Won","Yes","No"),"No")</calculatedColumnFormula>
    </tableColumn>
    <tableColumn id="27" xr3:uid="{71D87235-3057-0046-8B6D-B7C59942DD9C}" name="ratioGoal" dataDxfId="2">
      <calculatedColumnFormula>IF(M2+J2=0,0,M2/J2)</calculatedColumnFormula>
    </tableColumn>
    <tableColumn id="28" xr3:uid="{9BB7B760-1B33-054A-A3E6-2BF9F3B07547}" name="shot" dataDxfId="1">
      <calculatedColumnFormula>K2+J2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one.co.il/images/msites/leagues/logos150/99de806e3a05d70f135319c9840e2b81.png" TargetMode="External"/><Relationship Id="rId2" Type="http://schemas.openxmlformats.org/officeDocument/2006/relationships/hyperlink" Target="https://images.one.co.il/images/msites/leagues/logos150/99de806e3a05d70f135319c9840e2b81.png" TargetMode="External"/><Relationship Id="rId1" Type="http://schemas.openxmlformats.org/officeDocument/2006/relationships/hyperlink" Target="https://images.one.co.il/images/msites/leagues/logos150/99de806e3a05d70f135319c9840e2b81.png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images.one.co.il/images/msites/leagues/logos150/99de806e3a05d70f135319c9840e2b81.png" TargetMode="External"/><Relationship Id="rId4" Type="http://schemas.openxmlformats.org/officeDocument/2006/relationships/hyperlink" Target="https://images.one.co.il/images/msites/leagues/logos150/99de806e3a05d70f135319c9840e2b8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211A-A1EB-4A44-8EA2-B0187322FDBD}">
  <dimension ref="A3:D17"/>
  <sheetViews>
    <sheetView rightToLeft="1" workbookViewId="0">
      <selection activeCell="B16" sqref="B16"/>
    </sheetView>
  </sheetViews>
  <sheetFormatPr baseColWidth="10" defaultRowHeight="16" x14ac:dyDescent="0.2"/>
  <cols>
    <col min="1" max="1" width="24.42578125" bestFit="1" customWidth="1"/>
    <col min="2" max="2" width="12.140625" bestFit="1" customWidth="1"/>
    <col min="3" max="3" width="4" bestFit="1" customWidth="1"/>
    <col min="4" max="4" width="7.7109375" bestFit="1" customWidth="1"/>
    <col min="5" max="5" width="4" bestFit="1" customWidth="1"/>
    <col min="6" max="6" width="18.5703125" bestFit="1" customWidth="1"/>
    <col min="7" max="7" width="16.140625" bestFit="1" customWidth="1"/>
    <col min="8" max="8" width="4" bestFit="1" customWidth="1"/>
    <col min="9" max="9" width="18.5703125" bestFit="1" customWidth="1"/>
    <col min="10" max="10" width="16.140625" bestFit="1" customWidth="1"/>
    <col min="11" max="11" width="4" bestFit="1" customWidth="1"/>
    <col min="12" max="12" width="18.5703125" bestFit="1" customWidth="1"/>
    <col min="13" max="13" width="16.140625" bestFit="1" customWidth="1"/>
    <col min="14" max="14" width="4" bestFit="1" customWidth="1"/>
    <col min="15" max="15" width="18.5703125" bestFit="1" customWidth="1"/>
    <col min="16" max="16" width="16.140625" bestFit="1" customWidth="1"/>
    <col min="17" max="17" width="4" bestFit="1" customWidth="1"/>
    <col min="18" max="18" width="18.5703125" bestFit="1" customWidth="1"/>
    <col min="19" max="19" width="9.42578125" bestFit="1" customWidth="1"/>
    <col min="20" max="20" width="11.7109375" bestFit="1" customWidth="1"/>
    <col min="21" max="21" width="6.28515625" bestFit="1" customWidth="1"/>
    <col min="22" max="22" width="8.5703125" bestFit="1" customWidth="1"/>
    <col min="23" max="23" width="7.7109375" bestFit="1" customWidth="1"/>
  </cols>
  <sheetData>
    <row r="3" spans="1:4" x14ac:dyDescent="0.2">
      <c r="A3" s="14" t="s">
        <v>86</v>
      </c>
      <c r="B3" s="14" t="s">
        <v>81</v>
      </c>
    </row>
    <row r="4" spans="1:4" x14ac:dyDescent="0.2">
      <c r="A4" s="14" t="s">
        <v>82</v>
      </c>
      <c r="B4" t="s">
        <v>84</v>
      </c>
      <c r="C4" t="s">
        <v>85</v>
      </c>
      <c r="D4" t="s">
        <v>83</v>
      </c>
    </row>
    <row r="5" spans="1:4" x14ac:dyDescent="0.2">
      <c r="A5" s="15" t="s">
        <v>29</v>
      </c>
      <c r="B5">
        <v>5</v>
      </c>
      <c r="D5">
        <v>5</v>
      </c>
    </row>
    <row r="6" spans="1:4" x14ac:dyDescent="0.2">
      <c r="A6" s="15" t="s">
        <v>16</v>
      </c>
      <c r="B6">
        <v>2</v>
      </c>
      <c r="C6">
        <v>3</v>
      </c>
      <c r="D6">
        <v>5</v>
      </c>
    </row>
    <row r="7" spans="1:4" x14ac:dyDescent="0.2">
      <c r="A7" s="15" t="s">
        <v>69</v>
      </c>
      <c r="B7">
        <v>5</v>
      </c>
      <c r="D7">
        <v>5</v>
      </c>
    </row>
    <row r="8" spans="1:4" x14ac:dyDescent="0.2">
      <c r="A8" s="15" t="s">
        <v>41</v>
      </c>
      <c r="B8">
        <v>5</v>
      </c>
      <c r="D8">
        <v>5</v>
      </c>
    </row>
    <row r="9" spans="1:4" x14ac:dyDescent="0.2">
      <c r="A9" s="15" t="s">
        <v>25</v>
      </c>
      <c r="B9">
        <v>4</v>
      </c>
      <c r="C9">
        <v>1</v>
      </c>
      <c r="D9">
        <v>5</v>
      </c>
    </row>
    <row r="10" spans="1:4" x14ac:dyDescent="0.2">
      <c r="A10" s="15" t="s">
        <v>72</v>
      </c>
      <c r="B10">
        <v>5</v>
      </c>
      <c r="D10">
        <v>5</v>
      </c>
    </row>
    <row r="11" spans="1:4" x14ac:dyDescent="0.2">
      <c r="A11" s="15" t="s">
        <v>65</v>
      </c>
      <c r="B11">
        <v>5</v>
      </c>
      <c r="D11">
        <v>5</v>
      </c>
    </row>
    <row r="12" spans="1:4" x14ac:dyDescent="0.2">
      <c r="A12" s="15" t="s">
        <v>22</v>
      </c>
      <c r="B12">
        <v>4</v>
      </c>
      <c r="C12">
        <v>1</v>
      </c>
      <c r="D12">
        <v>5</v>
      </c>
    </row>
    <row r="13" spans="1:4" x14ac:dyDescent="0.2">
      <c r="A13" s="15" t="s">
        <v>77</v>
      </c>
      <c r="B13">
        <v>5</v>
      </c>
      <c r="D13">
        <v>5</v>
      </c>
    </row>
    <row r="14" spans="1:4" x14ac:dyDescent="0.2">
      <c r="A14" s="15" t="s">
        <v>53</v>
      </c>
      <c r="B14">
        <v>5</v>
      </c>
      <c r="D14">
        <v>5</v>
      </c>
    </row>
    <row r="15" spans="1:4" x14ac:dyDescent="0.2">
      <c r="A15" s="15" t="s">
        <v>56</v>
      </c>
      <c r="B15">
        <v>5</v>
      </c>
      <c r="D15">
        <v>5</v>
      </c>
    </row>
    <row r="16" spans="1:4" x14ac:dyDescent="0.2">
      <c r="A16" s="15" t="s">
        <v>43</v>
      </c>
      <c r="B16">
        <v>2</v>
      </c>
      <c r="C16">
        <v>3</v>
      </c>
      <c r="D16">
        <v>5</v>
      </c>
    </row>
    <row r="17" spans="1:4" x14ac:dyDescent="0.2">
      <c r="A17" s="15" t="s">
        <v>83</v>
      </c>
      <c r="B17">
        <v>52</v>
      </c>
      <c r="C17">
        <v>8</v>
      </c>
      <c r="D17">
        <v>60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56C9-12C0-0D40-B842-69814A497951}">
  <dimension ref="A3:E17"/>
  <sheetViews>
    <sheetView rightToLeft="1" workbookViewId="0">
      <selection activeCell="B6" sqref="B6"/>
    </sheetView>
  </sheetViews>
  <sheetFormatPr baseColWidth="10" defaultRowHeight="16" x14ac:dyDescent="0.2"/>
  <cols>
    <col min="1" max="1" width="16.85546875" bestFit="1" customWidth="1"/>
    <col min="2" max="2" width="12.140625" bestFit="1" customWidth="1"/>
    <col min="3" max="3" width="2" bestFit="1" customWidth="1"/>
    <col min="4" max="4" width="3" bestFit="1" customWidth="1"/>
    <col min="5" max="5" width="7.7109375" bestFit="1" customWidth="1"/>
    <col min="6" max="7" width="2" bestFit="1" customWidth="1"/>
    <col min="8" max="8" width="6.140625" bestFit="1" customWidth="1"/>
    <col min="9" max="9" width="3.85546875" bestFit="1" customWidth="1"/>
    <col min="10" max="10" width="2" bestFit="1" customWidth="1"/>
    <col min="11" max="11" width="6.140625" bestFit="1" customWidth="1"/>
    <col min="12" max="12" width="3.85546875" bestFit="1" customWidth="1"/>
    <col min="13" max="13" width="2" bestFit="1" customWidth="1"/>
    <col min="14" max="14" width="6.140625" bestFit="1" customWidth="1"/>
    <col min="15" max="15" width="3.85546875" bestFit="1" customWidth="1"/>
    <col min="16" max="16" width="6.140625" bestFit="1" customWidth="1"/>
    <col min="17" max="17" width="3.85546875" bestFit="1" customWidth="1"/>
    <col min="18" max="18" width="6.140625" bestFit="1" customWidth="1"/>
    <col min="19" max="19" width="6.28515625" bestFit="1" customWidth="1"/>
    <col min="20" max="20" width="8.5703125" bestFit="1" customWidth="1"/>
    <col min="21" max="21" width="7.7109375" bestFit="1" customWidth="1"/>
    <col min="22" max="24" width="2" bestFit="1" customWidth="1"/>
    <col min="25" max="26" width="3" bestFit="1" customWidth="1"/>
    <col min="27" max="27" width="6.140625" bestFit="1" customWidth="1"/>
    <col min="28" max="28" width="3.85546875" bestFit="1" customWidth="1"/>
    <col min="29" max="29" width="2" bestFit="1" customWidth="1"/>
    <col min="30" max="30" width="6.140625" bestFit="1" customWidth="1"/>
    <col min="31" max="31" width="3.85546875" bestFit="1" customWidth="1"/>
    <col min="32" max="33" width="2" bestFit="1" customWidth="1"/>
    <col min="34" max="34" width="6.140625" bestFit="1" customWidth="1"/>
    <col min="35" max="35" width="3.85546875" bestFit="1" customWidth="1"/>
    <col min="36" max="36" width="2" bestFit="1" customWidth="1"/>
    <col min="37" max="37" width="6.140625" bestFit="1" customWidth="1"/>
    <col min="38" max="38" width="4.85546875" bestFit="1" customWidth="1"/>
    <col min="39" max="39" width="7" bestFit="1" customWidth="1"/>
    <col min="40" max="40" width="4.85546875" bestFit="1" customWidth="1"/>
    <col min="41" max="41" width="7" bestFit="1" customWidth="1"/>
    <col min="42" max="42" width="4.85546875" bestFit="1" customWidth="1"/>
    <col min="43" max="43" width="7" bestFit="1" customWidth="1"/>
    <col min="44" max="44" width="6.28515625" bestFit="1" customWidth="1"/>
    <col min="45" max="45" width="8.5703125" bestFit="1" customWidth="1"/>
    <col min="46" max="46" width="7.7109375" bestFit="1" customWidth="1"/>
  </cols>
  <sheetData>
    <row r="3" spans="1:5" x14ac:dyDescent="0.2">
      <c r="A3" s="14" t="s">
        <v>87</v>
      </c>
      <c r="B3" s="14" t="s">
        <v>81</v>
      </c>
    </row>
    <row r="4" spans="1:5" x14ac:dyDescent="0.2">
      <c r="A4" s="14" t="s">
        <v>82</v>
      </c>
      <c r="B4">
        <v>0</v>
      </c>
      <c r="C4">
        <v>1</v>
      </c>
      <c r="D4">
        <v>3</v>
      </c>
      <c r="E4" t="s">
        <v>83</v>
      </c>
    </row>
    <row r="5" spans="1:5" x14ac:dyDescent="0.2">
      <c r="A5" s="15" t="s">
        <v>29</v>
      </c>
      <c r="B5">
        <v>3</v>
      </c>
      <c r="C5">
        <v>0</v>
      </c>
      <c r="D5">
        <v>4</v>
      </c>
      <c r="E5">
        <v>7</v>
      </c>
    </row>
    <row r="6" spans="1:5" x14ac:dyDescent="0.2">
      <c r="A6" s="15" t="s">
        <v>16</v>
      </c>
      <c r="C6">
        <v>0</v>
      </c>
      <c r="D6">
        <v>13</v>
      </c>
      <c r="E6">
        <v>13</v>
      </c>
    </row>
    <row r="7" spans="1:5" x14ac:dyDescent="0.2">
      <c r="A7" s="15" t="s">
        <v>69</v>
      </c>
      <c r="D7">
        <v>2</v>
      </c>
      <c r="E7">
        <v>2</v>
      </c>
    </row>
    <row r="8" spans="1:5" x14ac:dyDescent="0.2">
      <c r="A8" s="15" t="s">
        <v>41</v>
      </c>
      <c r="B8">
        <v>4</v>
      </c>
      <c r="E8">
        <v>4</v>
      </c>
    </row>
    <row r="9" spans="1:5" x14ac:dyDescent="0.2">
      <c r="A9" s="15" t="s">
        <v>25</v>
      </c>
      <c r="B9">
        <v>2</v>
      </c>
      <c r="C9">
        <v>1</v>
      </c>
      <c r="D9">
        <v>2</v>
      </c>
      <c r="E9">
        <v>5</v>
      </c>
    </row>
    <row r="10" spans="1:5" x14ac:dyDescent="0.2">
      <c r="A10" s="15" t="s">
        <v>72</v>
      </c>
      <c r="B10">
        <v>1</v>
      </c>
      <c r="E10">
        <v>1</v>
      </c>
    </row>
    <row r="11" spans="1:5" x14ac:dyDescent="0.2">
      <c r="A11" s="15" t="s">
        <v>65</v>
      </c>
      <c r="D11">
        <v>6</v>
      </c>
      <c r="E11">
        <v>6</v>
      </c>
    </row>
    <row r="12" spans="1:5" x14ac:dyDescent="0.2">
      <c r="A12" s="15" t="s">
        <v>22</v>
      </c>
      <c r="B12">
        <v>2</v>
      </c>
      <c r="D12">
        <v>7</v>
      </c>
      <c r="E12">
        <v>9</v>
      </c>
    </row>
    <row r="13" spans="1:5" x14ac:dyDescent="0.2">
      <c r="A13" s="15" t="s">
        <v>77</v>
      </c>
      <c r="B13">
        <v>2</v>
      </c>
      <c r="E13">
        <v>2</v>
      </c>
    </row>
    <row r="14" spans="1:5" x14ac:dyDescent="0.2">
      <c r="A14" s="15" t="s">
        <v>53</v>
      </c>
      <c r="B14">
        <v>2</v>
      </c>
      <c r="C14">
        <v>0</v>
      </c>
      <c r="E14">
        <v>2</v>
      </c>
    </row>
    <row r="15" spans="1:5" x14ac:dyDescent="0.2">
      <c r="A15" s="15" t="s">
        <v>56</v>
      </c>
      <c r="B15">
        <v>3</v>
      </c>
      <c r="C15">
        <v>1</v>
      </c>
      <c r="D15">
        <v>5</v>
      </c>
      <c r="E15">
        <v>9</v>
      </c>
    </row>
    <row r="16" spans="1:5" x14ac:dyDescent="0.2">
      <c r="A16" s="15" t="s">
        <v>43</v>
      </c>
      <c r="B16">
        <v>3</v>
      </c>
      <c r="D16">
        <v>10</v>
      </c>
      <c r="E16">
        <v>13</v>
      </c>
    </row>
    <row r="17" spans="1:5" x14ac:dyDescent="0.2">
      <c r="A17" s="15" t="s">
        <v>83</v>
      </c>
      <c r="B17">
        <v>22</v>
      </c>
      <c r="C17">
        <v>2</v>
      </c>
      <c r="D17">
        <v>49</v>
      </c>
      <c r="E17">
        <v>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3F41-4F9E-1D4D-8BB5-110A94E00AB7}">
  <dimension ref="A1:AD72"/>
  <sheetViews>
    <sheetView rightToLeft="1" tabSelected="1" topLeftCell="S1" workbookViewId="0">
      <selection activeCell="T6" sqref="T6"/>
    </sheetView>
  </sheetViews>
  <sheetFormatPr baseColWidth="10" defaultRowHeight="16" x14ac:dyDescent="0.2"/>
  <cols>
    <col min="1" max="1" width="10.7109375" customWidth="1"/>
    <col min="2" max="2" width="13.7109375" bestFit="1" customWidth="1"/>
    <col min="6" max="9" width="10.7109375" style="18"/>
    <col min="10" max="10" width="11.5703125" style="18" customWidth="1"/>
    <col min="11" max="11" width="14.42578125" style="18" customWidth="1"/>
    <col min="13" max="13" width="10.7109375" style="18"/>
    <col min="14" max="14" width="15.7109375" customWidth="1"/>
    <col min="15" max="15" width="16.42578125" customWidth="1"/>
    <col min="16" max="16" width="17.28515625" customWidth="1"/>
    <col min="17" max="17" width="7.5703125" customWidth="1"/>
    <col min="18" max="18" width="43.140625" customWidth="1"/>
    <col min="19" max="19" width="93" bestFit="1" customWidth="1"/>
    <col min="20" max="20" width="93" customWidth="1"/>
    <col min="22" max="22" width="10.85546875" customWidth="1"/>
    <col min="23" max="23" width="9.85546875" customWidth="1"/>
    <col min="24" max="24" width="12.5703125" customWidth="1"/>
    <col min="25" max="25" width="15.140625" customWidth="1"/>
    <col min="26" max="26" width="19.140625" bestFit="1" customWidth="1"/>
  </cols>
  <sheetData>
    <row r="1" spans="1:30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2" t="s">
        <v>11</v>
      </c>
      <c r="M1" s="18" t="s">
        <v>12</v>
      </c>
      <c r="N1" t="s">
        <v>13</v>
      </c>
      <c r="O1" t="s">
        <v>14</v>
      </c>
      <c r="P1" t="s">
        <v>17</v>
      </c>
      <c r="Q1" t="s">
        <v>15</v>
      </c>
      <c r="R1" t="s">
        <v>132</v>
      </c>
      <c r="S1" t="s">
        <v>134</v>
      </c>
      <c r="T1" t="s">
        <v>149</v>
      </c>
      <c r="U1" t="s">
        <v>21</v>
      </c>
      <c r="V1" t="s">
        <v>34</v>
      </c>
      <c r="W1" t="s">
        <v>57</v>
      </c>
      <c r="X1" t="s">
        <v>58</v>
      </c>
      <c r="Y1" t="s">
        <v>59</v>
      </c>
      <c r="Z1" t="s">
        <v>78</v>
      </c>
      <c r="AA1" t="s">
        <v>79</v>
      </c>
      <c r="AB1" t="s">
        <v>80</v>
      </c>
      <c r="AC1" t="s">
        <v>114</v>
      </c>
      <c r="AD1" t="s">
        <v>115</v>
      </c>
    </row>
    <row r="2" spans="1:30" x14ac:dyDescent="0.2">
      <c r="A2">
        <v>11</v>
      </c>
      <c r="B2" s="3" t="s">
        <v>16</v>
      </c>
      <c r="C2" t="s">
        <v>116</v>
      </c>
      <c r="D2">
        <v>6</v>
      </c>
      <c r="E2">
        <v>13</v>
      </c>
      <c r="F2" s="18">
        <v>21</v>
      </c>
      <c r="G2" s="18">
        <v>0</v>
      </c>
      <c r="H2" s="18">
        <v>0</v>
      </c>
      <c r="I2" s="18">
        <v>2</v>
      </c>
      <c r="J2" s="18">
        <v>5</v>
      </c>
      <c r="K2" s="18">
        <v>4</v>
      </c>
      <c r="L2" s="2">
        <v>45958</v>
      </c>
      <c r="M2" s="18">
        <v>2</v>
      </c>
      <c r="N2" t="s">
        <v>16</v>
      </c>
      <c r="O2" t="s">
        <v>19</v>
      </c>
      <c r="P2" t="s">
        <v>18</v>
      </c>
      <c r="Q2" t="s">
        <v>20</v>
      </c>
      <c r="R2" t="s">
        <v>133</v>
      </c>
      <c r="S2" t="s">
        <v>119</v>
      </c>
      <c r="T2" t="str" cm="1">
        <f t="array" ref="T2">INDEX(_xlfn.TEXTSPLIT(U2,"il"),2)</f>
        <v>/images/msites/leagues/logos150/1ccf91e6473ef1d4d9ec51f6495820cd.png</v>
      </c>
      <c r="U2" s="19" t="s">
        <v>135</v>
      </c>
      <c r="V2">
        <f>IF(Q2="Won",3,IF(Q2="Lose",0,1))</f>
        <v>3</v>
      </c>
      <c r="W2">
        <f>MONTH(L2)</f>
        <v>10</v>
      </c>
      <c r="X2" t="str">
        <f>TEXT(L2,"dddd")</f>
        <v>יום שלישי</v>
      </c>
      <c r="Y2" t="str">
        <f>TEXT(L2,"mmmm")</f>
        <v>אוקטובר</v>
      </c>
      <c r="Z2">
        <f>IF(B2=N2,1,0)</f>
        <v>1</v>
      </c>
      <c r="AA2" t="str">
        <f>IF(Z2=1,IF(Q2="Won","Yes","No"),"No")</f>
        <v>Yes</v>
      </c>
      <c r="AB2" t="str">
        <f>IF(Z2=0,IF(Q2="Won","Yes","No"),"No")</f>
        <v>No</v>
      </c>
      <c r="AC2">
        <f>IF(M2+J2=0,0,M2/J2)</f>
        <v>0.4</v>
      </c>
      <c r="AD2">
        <f>K2+J2</f>
        <v>9</v>
      </c>
    </row>
    <row r="3" spans="1:30" x14ac:dyDescent="0.2">
      <c r="A3">
        <v>12</v>
      </c>
      <c r="B3" s="3" t="str">
        <f>B2</f>
        <v>beitar_jerusalem</v>
      </c>
      <c r="C3" t="s">
        <v>24</v>
      </c>
      <c r="D3">
        <v>8</v>
      </c>
      <c r="E3">
        <v>10</v>
      </c>
      <c r="F3" s="18">
        <v>11</v>
      </c>
      <c r="G3" s="18">
        <v>4</v>
      </c>
      <c r="H3" s="18">
        <v>0</v>
      </c>
      <c r="I3" s="18">
        <v>0</v>
      </c>
      <c r="J3" s="18">
        <v>5</v>
      </c>
      <c r="K3" s="18">
        <v>8</v>
      </c>
      <c r="L3" s="2">
        <v>45955</v>
      </c>
      <c r="M3" s="18">
        <v>3</v>
      </c>
      <c r="N3" t="s">
        <v>25</v>
      </c>
      <c r="O3" t="s">
        <v>26</v>
      </c>
      <c r="P3" t="s">
        <v>30</v>
      </c>
      <c r="Q3" t="s">
        <v>20</v>
      </c>
      <c r="R3" t="s">
        <v>133</v>
      </c>
      <c r="S3" t="s">
        <v>119</v>
      </c>
      <c r="T3" t="str" cm="1">
        <f t="array" ref="T3">INDEX(_xlfn.TEXTSPLIT(U3,"il"),2)</f>
        <v>/images/msites/leagues/logos150/1ccf91e6473ef1d4d9ec51f6495820cd.png</v>
      </c>
      <c r="U3" s="19" t="s">
        <v>135</v>
      </c>
      <c r="V3">
        <f>IF(Q3="Won",3,IF(Q3="Lose",0,1))</f>
        <v>3</v>
      </c>
      <c r="W3">
        <f>MONTH(L3)</f>
        <v>10</v>
      </c>
      <c r="X3" t="str">
        <f>TEXT(L3,"dddd")</f>
        <v>יום שבת</v>
      </c>
      <c r="Y3" t="str">
        <f>TEXT(L3,"mmmm")</f>
        <v>אוקטובר</v>
      </c>
      <c r="Z3">
        <f>IF(B3=N3,1,0)</f>
        <v>0</v>
      </c>
      <c r="AA3" t="str">
        <f>IF(Z3=1,IF(Q3="Won","Yes","No"),"No")</f>
        <v>No</v>
      </c>
      <c r="AB3" t="str">
        <f>IF(Z3=0,IF(Q3="Won","Yes","No"),"No")</f>
        <v>Yes</v>
      </c>
      <c r="AC3">
        <f>IF(M3+J3=0,0,M3/J3)</f>
        <v>0.6</v>
      </c>
      <c r="AD3">
        <f>K3+J3</f>
        <v>13</v>
      </c>
    </row>
    <row r="4" spans="1:30" x14ac:dyDescent="0.2">
      <c r="A4">
        <v>13</v>
      </c>
      <c r="B4" s="3" t="str">
        <f>B2</f>
        <v>beitar_jerusalem</v>
      </c>
      <c r="C4" t="s">
        <v>27</v>
      </c>
      <c r="D4">
        <v>8</v>
      </c>
      <c r="E4">
        <v>15</v>
      </c>
      <c r="F4" s="18">
        <v>17</v>
      </c>
      <c r="G4" s="18">
        <v>2</v>
      </c>
      <c r="H4" s="18">
        <v>0</v>
      </c>
      <c r="I4" s="18">
        <v>1</v>
      </c>
      <c r="J4" s="18">
        <v>11</v>
      </c>
      <c r="K4" s="18">
        <v>5</v>
      </c>
      <c r="L4" s="2">
        <v>45950</v>
      </c>
      <c r="M4" s="18">
        <v>0</v>
      </c>
      <c r="N4" t="s">
        <v>30</v>
      </c>
      <c r="O4" t="s">
        <v>30</v>
      </c>
      <c r="P4" t="s">
        <v>30</v>
      </c>
      <c r="Q4" t="s">
        <v>28</v>
      </c>
      <c r="R4" t="s">
        <v>133</v>
      </c>
      <c r="S4" t="s">
        <v>119</v>
      </c>
      <c r="T4" t="str" cm="1">
        <f t="array" ref="T4">INDEX(_xlfn.TEXTSPLIT(U4,"il"),2)</f>
        <v>/images/msites/leagues/logos150/1ccf91e6473ef1d4d9ec51f6495820cd.png</v>
      </c>
      <c r="U4" s="19" t="s">
        <v>135</v>
      </c>
      <c r="V4">
        <f>IF(Q4="Won",3,IF(Q4="Lose",0,1))</f>
        <v>1</v>
      </c>
      <c r="W4">
        <f>MONTH(L4)</f>
        <v>10</v>
      </c>
      <c r="X4" t="str">
        <f>TEXT(L4,"dddd")</f>
        <v>יום שני</v>
      </c>
      <c r="Y4" t="str">
        <f>TEXT(L4,"mmmm")</f>
        <v>אוקטובר</v>
      </c>
      <c r="Z4">
        <f>IF(B4=N4,1,0)</f>
        <v>0</v>
      </c>
      <c r="AA4" t="str">
        <f>IF(Z4=1,IF(Q4="Won","Yes","No"),"No")</f>
        <v>No</v>
      </c>
      <c r="AB4" t="str">
        <f>IF(Z4=0,IF(Q4="Won","Yes","No"),"No")</f>
        <v>No</v>
      </c>
      <c r="AC4">
        <f>IF(M4+J4=0,0,M4/J4)</f>
        <v>0</v>
      </c>
      <c r="AD4">
        <f>K4+J4</f>
        <v>16</v>
      </c>
    </row>
    <row r="5" spans="1:30" x14ac:dyDescent="0.2">
      <c r="A5">
        <v>14</v>
      </c>
      <c r="B5" s="3" t="str">
        <f>B3</f>
        <v>beitar_jerusalem</v>
      </c>
      <c r="C5" t="s">
        <v>31</v>
      </c>
      <c r="D5">
        <v>3</v>
      </c>
      <c r="E5">
        <v>9</v>
      </c>
      <c r="F5" s="18">
        <v>7</v>
      </c>
      <c r="G5" s="18">
        <v>4</v>
      </c>
      <c r="H5" s="18">
        <v>1</v>
      </c>
      <c r="I5" s="18">
        <v>1</v>
      </c>
      <c r="J5" s="18">
        <v>7</v>
      </c>
      <c r="K5" s="18">
        <v>1</v>
      </c>
      <c r="L5" s="2">
        <v>45934</v>
      </c>
      <c r="M5" s="18">
        <v>5</v>
      </c>
      <c r="N5" t="s">
        <v>65</v>
      </c>
      <c r="O5" t="s">
        <v>32</v>
      </c>
      <c r="P5" t="s">
        <v>33</v>
      </c>
      <c r="Q5" t="s">
        <v>20</v>
      </c>
      <c r="R5" t="s">
        <v>133</v>
      </c>
      <c r="S5" t="s">
        <v>119</v>
      </c>
      <c r="T5" t="str" cm="1">
        <f t="array" ref="T5">INDEX(_xlfn.TEXTSPLIT(U5,"il"),2)</f>
        <v>/images/msites/leagues/logos150/1ccf91e6473ef1d4d9ec51f6495820cd.png</v>
      </c>
      <c r="U5" s="19" t="s">
        <v>135</v>
      </c>
      <c r="V5">
        <f>IF(Q5="Won",3,IF(Q5="Lose",0,1))</f>
        <v>3</v>
      </c>
      <c r="W5">
        <f>MONTH(L5)</f>
        <v>10</v>
      </c>
      <c r="X5" t="str">
        <f>TEXT(L5,"dddd")</f>
        <v>יום שבת</v>
      </c>
      <c r="Y5" t="str">
        <f>TEXT(L5,"mmmm")</f>
        <v>אוקטובר</v>
      </c>
      <c r="Z5">
        <f>IF(B5=N5,1,0)</f>
        <v>0</v>
      </c>
      <c r="AA5" t="str">
        <f>IF(Z5=1,IF(Q5="Won","Yes","No"),"No")</f>
        <v>No</v>
      </c>
      <c r="AB5" t="str">
        <f>IF(Z5=0,IF(Q5="Won","Yes","No"),"No")</f>
        <v>Yes</v>
      </c>
      <c r="AC5">
        <f>IF(M5+J5=0,0,M5/J5)</f>
        <v>0.7142857142857143</v>
      </c>
      <c r="AD5">
        <f>K5+J5</f>
        <v>8</v>
      </c>
    </row>
    <row r="6" spans="1:30" x14ac:dyDescent="0.2">
      <c r="A6">
        <v>15</v>
      </c>
      <c r="B6" s="3" t="str">
        <f>B4</f>
        <v>beitar_jerusalem</v>
      </c>
      <c r="C6" s="7" t="s">
        <v>36</v>
      </c>
      <c r="D6">
        <v>7</v>
      </c>
      <c r="E6">
        <v>9</v>
      </c>
      <c r="F6" s="18">
        <v>11</v>
      </c>
      <c r="G6" s="18">
        <v>2</v>
      </c>
      <c r="H6" s="18">
        <v>0</v>
      </c>
      <c r="I6" s="18">
        <v>1</v>
      </c>
      <c r="J6" s="18">
        <v>5</v>
      </c>
      <c r="K6" s="18">
        <v>4</v>
      </c>
      <c r="L6" s="2">
        <v>45927</v>
      </c>
      <c r="M6" s="18">
        <v>3</v>
      </c>
      <c r="N6" t="s">
        <v>41</v>
      </c>
      <c r="O6" t="s">
        <v>35</v>
      </c>
      <c r="P6" t="s">
        <v>30</v>
      </c>
      <c r="Q6" t="s">
        <v>20</v>
      </c>
      <c r="R6" t="s">
        <v>133</v>
      </c>
      <c r="S6" t="s">
        <v>119</v>
      </c>
      <c r="T6" t="str" cm="1">
        <f t="array" ref="T6">INDEX(_xlfn.TEXTSPLIT(U6,"il"),2)</f>
        <v>/images/msites/leagues/logos150/1ccf91e6473ef1d4d9ec51f6495820cd.png</v>
      </c>
      <c r="U6" s="19" t="s">
        <v>135</v>
      </c>
      <c r="V6">
        <f>IF(Q6="Won",3,IF(Q6="Lose",0,1))</f>
        <v>3</v>
      </c>
      <c r="W6">
        <f>MONTH(L6)</f>
        <v>9</v>
      </c>
      <c r="X6" t="str">
        <f>TEXT(L6,"dddd")</f>
        <v>יום שבת</v>
      </c>
      <c r="Y6" t="str">
        <f>TEXT(L6,"mmmm")</f>
        <v>ספטמבר</v>
      </c>
      <c r="Z6">
        <f>IF(B6=N6,1,0)</f>
        <v>0</v>
      </c>
      <c r="AA6" t="str">
        <f>IF(Z6=1,IF(Q6="Won","Yes","No"),"No")</f>
        <v>No</v>
      </c>
      <c r="AB6" t="str">
        <f>IF(Z6=0,IF(Q6="Won","Yes","No"),"No")</f>
        <v>Yes</v>
      </c>
      <c r="AC6">
        <f>IF(M6+J6=0,0,M6/J6)</f>
        <v>0.6</v>
      </c>
      <c r="AD6">
        <f>K6+J6</f>
        <v>9</v>
      </c>
    </row>
    <row r="7" spans="1:30" x14ac:dyDescent="0.2">
      <c r="A7">
        <v>21</v>
      </c>
      <c r="B7" s="4" t="s">
        <v>22</v>
      </c>
      <c r="C7" t="s">
        <v>117</v>
      </c>
      <c r="D7">
        <v>5</v>
      </c>
      <c r="E7">
        <v>14</v>
      </c>
      <c r="F7" s="18">
        <v>15</v>
      </c>
      <c r="G7" s="18">
        <v>2</v>
      </c>
      <c r="H7" s="18">
        <v>0</v>
      </c>
      <c r="I7" s="18">
        <v>7</v>
      </c>
      <c r="J7" s="18">
        <v>2</v>
      </c>
      <c r="K7" s="18">
        <v>4</v>
      </c>
      <c r="L7" s="2">
        <v>45958</v>
      </c>
      <c r="M7" s="18">
        <v>1</v>
      </c>
      <c r="N7" t="s">
        <v>16</v>
      </c>
      <c r="O7" t="s">
        <v>19</v>
      </c>
      <c r="P7" t="s">
        <v>18</v>
      </c>
      <c r="Q7" t="s">
        <v>23</v>
      </c>
      <c r="R7" t="s">
        <v>133</v>
      </c>
      <c r="S7" t="s">
        <v>121</v>
      </c>
      <c r="T7" t="str" cm="1">
        <f t="array" ref="T7">INDEX(_xlfn.TEXTSPLIT(U7,"il"),2)</f>
        <v>/images/msites/leagues/logos150/842d7a018c2ae3ee14889e8ddc9d2cc9.png</v>
      </c>
      <c r="U7" s="19" t="s">
        <v>140</v>
      </c>
      <c r="V7">
        <f>IF(Q7="Won",3,IF(Q7="Lose",0,1))</f>
        <v>0</v>
      </c>
      <c r="W7">
        <f>MONTH(L7)</f>
        <v>10</v>
      </c>
      <c r="X7" t="str">
        <f>TEXT(L7,"dddd")</f>
        <v>יום שלישי</v>
      </c>
      <c r="Y7" t="str">
        <f>TEXT(L7,"mmmm")</f>
        <v>אוקטובר</v>
      </c>
      <c r="Z7">
        <f>IF(B7=N7,1,0)</f>
        <v>0</v>
      </c>
      <c r="AA7" t="str">
        <f>IF(Z7=1,IF(Q7="Won","Yes","No"),"No")</f>
        <v>No</v>
      </c>
      <c r="AB7" t="str">
        <f>IF(Z7=0,IF(Q7="Won","Yes","No"),"No")</f>
        <v>No</v>
      </c>
      <c r="AC7">
        <f>IF(M7+J7=0,0,M7/J7)</f>
        <v>0.5</v>
      </c>
      <c r="AD7">
        <f>K7+J7</f>
        <v>6</v>
      </c>
    </row>
    <row r="8" spans="1:30" x14ac:dyDescent="0.2">
      <c r="A8">
        <v>22</v>
      </c>
      <c r="B8" s="4" t="s">
        <v>22</v>
      </c>
      <c r="C8" t="s">
        <v>24</v>
      </c>
      <c r="D8">
        <v>4</v>
      </c>
      <c r="E8">
        <v>11</v>
      </c>
      <c r="F8" s="18">
        <v>12</v>
      </c>
      <c r="G8" s="18">
        <v>4</v>
      </c>
      <c r="H8" s="18">
        <v>1</v>
      </c>
      <c r="I8" s="18">
        <v>0</v>
      </c>
      <c r="J8" s="18">
        <v>5</v>
      </c>
      <c r="K8" s="18">
        <v>9</v>
      </c>
      <c r="L8" s="2">
        <v>45955</v>
      </c>
      <c r="M8" s="18">
        <v>0</v>
      </c>
      <c r="N8" t="s">
        <v>42</v>
      </c>
      <c r="O8" t="s">
        <v>37</v>
      </c>
      <c r="P8" t="s">
        <v>38</v>
      </c>
      <c r="Q8" t="s">
        <v>23</v>
      </c>
      <c r="R8" t="s">
        <v>133</v>
      </c>
      <c r="S8" t="s">
        <v>121</v>
      </c>
      <c r="T8" t="str" cm="1">
        <f t="array" ref="T8">INDEX(_xlfn.TEXTSPLIT(U8,"il"),2)</f>
        <v>/images/msites/leagues/logos150/842d7a018c2ae3ee14889e8ddc9d2cc9.png</v>
      </c>
      <c r="U8" s="19" t="s">
        <v>140</v>
      </c>
      <c r="V8">
        <f>IF(Q8="Won",3,IF(Q8="Lose",0,1))</f>
        <v>0</v>
      </c>
      <c r="W8">
        <f>MONTH(L8)</f>
        <v>10</v>
      </c>
      <c r="X8" t="str">
        <f>TEXT(L8,"dddd")</f>
        <v>יום שבת</v>
      </c>
      <c r="Y8" t="str">
        <f>TEXT(L8,"mmmm")</f>
        <v>אוקטובר</v>
      </c>
      <c r="Z8">
        <f>IF(B8=N8,1,0)</f>
        <v>0</v>
      </c>
      <c r="AA8" t="str">
        <f>IF(Z8=1,IF(Q8="Won","Yes","No"),"No")</f>
        <v>No</v>
      </c>
      <c r="AB8" t="str">
        <f>IF(Z8=0,IF(Q8="Won","Yes","No"),"No")</f>
        <v>No</v>
      </c>
      <c r="AC8">
        <f>IF(M8+J8=0,0,M8/J8)</f>
        <v>0</v>
      </c>
      <c r="AD8">
        <f>K8+J8</f>
        <v>14</v>
      </c>
    </row>
    <row r="9" spans="1:30" x14ac:dyDescent="0.2">
      <c r="A9">
        <v>23</v>
      </c>
      <c r="B9" s="4" t="s">
        <v>22</v>
      </c>
      <c r="C9" t="s">
        <v>31</v>
      </c>
      <c r="D9">
        <v>4</v>
      </c>
      <c r="E9">
        <v>23</v>
      </c>
      <c r="F9" s="18">
        <v>16</v>
      </c>
      <c r="G9" s="18">
        <v>6</v>
      </c>
      <c r="H9" s="18">
        <v>0</v>
      </c>
      <c r="I9" s="18">
        <v>0</v>
      </c>
      <c r="J9" s="18">
        <v>3</v>
      </c>
      <c r="K9" s="18">
        <v>1</v>
      </c>
      <c r="L9" s="2">
        <v>45934</v>
      </c>
      <c r="M9" s="18">
        <v>1</v>
      </c>
      <c r="N9" t="s">
        <v>39</v>
      </c>
      <c r="O9" t="s">
        <v>40</v>
      </c>
      <c r="P9" t="s">
        <v>44</v>
      </c>
      <c r="Q9" t="s">
        <v>23</v>
      </c>
      <c r="R9" t="s">
        <v>133</v>
      </c>
      <c r="S9" t="s">
        <v>121</v>
      </c>
      <c r="T9" t="str" cm="1">
        <f t="array" ref="T9">INDEX(_xlfn.TEXTSPLIT(U9,"il"),2)</f>
        <v>/images/msites/leagues/logos150/842d7a018c2ae3ee14889e8ddc9d2cc9.png</v>
      </c>
      <c r="U9" s="19" t="s">
        <v>140</v>
      </c>
      <c r="V9">
        <f>IF(Q9="Won",3,IF(Q9="Lose",0,1))</f>
        <v>0</v>
      </c>
      <c r="W9">
        <f>MONTH(L9)</f>
        <v>10</v>
      </c>
      <c r="X9" t="str">
        <f>TEXT(L9,"dddd")</f>
        <v>יום שבת</v>
      </c>
      <c r="Y9" t="str">
        <f>TEXT(L9,"mmmm")</f>
        <v>אוקטובר</v>
      </c>
      <c r="Z9">
        <f>IF(B9=N9,1,0)</f>
        <v>0</v>
      </c>
      <c r="AA9" t="str">
        <f>IF(Z9=1,IF(Q9="Won","Yes","No"),"No")</f>
        <v>No</v>
      </c>
      <c r="AB9" t="str">
        <f>IF(Z9=0,IF(Q9="Won","Yes","No"),"No")</f>
        <v>No</v>
      </c>
      <c r="AC9">
        <f>IF(M9+J9=0,0,M9/J9)</f>
        <v>0.33333333333333331</v>
      </c>
      <c r="AD9">
        <f>K9+J9</f>
        <v>4</v>
      </c>
    </row>
    <row r="10" spans="1:30" x14ac:dyDescent="0.2">
      <c r="A10">
        <v>24</v>
      </c>
      <c r="B10" s="4" t="s">
        <v>22</v>
      </c>
      <c r="C10" t="s">
        <v>36</v>
      </c>
      <c r="D10">
        <v>11</v>
      </c>
      <c r="E10">
        <v>16</v>
      </c>
      <c r="F10" s="18">
        <v>7</v>
      </c>
      <c r="G10" s="18">
        <v>2</v>
      </c>
      <c r="H10" s="18">
        <v>0</v>
      </c>
      <c r="I10" s="18">
        <v>1</v>
      </c>
      <c r="J10" s="18">
        <v>5</v>
      </c>
      <c r="K10" s="18">
        <v>15</v>
      </c>
      <c r="L10" s="2">
        <v>45927</v>
      </c>
      <c r="M10" s="18">
        <v>1</v>
      </c>
      <c r="N10" t="s">
        <v>22</v>
      </c>
      <c r="O10" t="s">
        <v>45</v>
      </c>
      <c r="P10" t="s">
        <v>46</v>
      </c>
      <c r="Q10" t="s">
        <v>20</v>
      </c>
      <c r="R10" t="s">
        <v>133</v>
      </c>
      <c r="S10" t="s">
        <v>121</v>
      </c>
      <c r="T10" t="str" cm="1">
        <f t="array" ref="T10">INDEX(_xlfn.TEXTSPLIT(U10,"il"),2)</f>
        <v>/images/msites/leagues/logos150/842d7a018c2ae3ee14889e8ddc9d2cc9.png</v>
      </c>
      <c r="U10" s="19" t="s">
        <v>140</v>
      </c>
      <c r="V10">
        <f>IF(Q10="Won",3,IF(Q10="Lose",0,1))</f>
        <v>3</v>
      </c>
      <c r="W10">
        <f>MONTH(L10)</f>
        <v>9</v>
      </c>
      <c r="X10" t="str">
        <f>TEXT(L10,"dddd")</f>
        <v>יום שבת</v>
      </c>
      <c r="Y10" t="str">
        <f>TEXT(L10,"mmmm")</f>
        <v>ספטמבר</v>
      </c>
      <c r="Z10">
        <f>IF(B10=N10,1,0)</f>
        <v>1</v>
      </c>
      <c r="AA10" t="str">
        <f>IF(Z10=1,IF(Q10="Won","Yes","No"),"No")</f>
        <v>Yes</v>
      </c>
      <c r="AB10" t="str">
        <f>IF(Z10=0,IF(Q10="Won","Yes","No"),"No")</f>
        <v>No</v>
      </c>
      <c r="AC10">
        <f>IF(M10+J10=0,0,M10/J10)</f>
        <v>0.2</v>
      </c>
      <c r="AD10">
        <f>K10+J10</f>
        <v>20</v>
      </c>
    </row>
    <row r="11" spans="1:30" x14ac:dyDescent="0.2">
      <c r="A11">
        <v>25</v>
      </c>
      <c r="B11" s="4" t="s">
        <v>22</v>
      </c>
      <c r="C11" t="s">
        <v>47</v>
      </c>
      <c r="D11">
        <v>4</v>
      </c>
      <c r="E11">
        <v>19</v>
      </c>
      <c r="F11" s="18">
        <v>16</v>
      </c>
      <c r="G11" s="18">
        <v>3</v>
      </c>
      <c r="H11" s="18">
        <v>0</v>
      </c>
      <c r="I11" s="18">
        <v>1</v>
      </c>
      <c r="J11" s="18">
        <v>8</v>
      </c>
      <c r="K11" s="18">
        <v>4</v>
      </c>
      <c r="L11" s="2">
        <v>45920</v>
      </c>
      <c r="M11" s="18">
        <v>6</v>
      </c>
      <c r="N11" t="s">
        <v>48</v>
      </c>
      <c r="O11" t="s">
        <v>49</v>
      </c>
      <c r="P11" t="s">
        <v>50</v>
      </c>
      <c r="Q11" t="s">
        <v>20</v>
      </c>
      <c r="R11" t="s">
        <v>133</v>
      </c>
      <c r="S11" t="s">
        <v>121</v>
      </c>
      <c r="T11" t="str" cm="1">
        <f t="array" ref="T11">INDEX(_xlfn.TEXTSPLIT(U11,"il"),2)</f>
        <v>/images/msites/leagues/logos150/842d7a018c2ae3ee14889e8ddc9d2cc9.png</v>
      </c>
      <c r="U11" s="19" t="s">
        <v>140</v>
      </c>
      <c r="V11">
        <f>IF(Q11="Won",3,IF(Q11="Lose",0,1))</f>
        <v>3</v>
      </c>
      <c r="W11">
        <f>MONTH(L11)</f>
        <v>9</v>
      </c>
      <c r="X11" t="str">
        <f>TEXT(L11,"dddd")</f>
        <v>יום שבת</v>
      </c>
      <c r="Y11" t="str">
        <f>TEXT(L11,"mmmm")</f>
        <v>ספטמבר</v>
      </c>
      <c r="Z11">
        <f>IF(B11=N11,1,0)</f>
        <v>0</v>
      </c>
      <c r="AA11" t="str">
        <f>IF(Z11=1,IF(Q11="Won","Yes","No"),"No")</f>
        <v>No</v>
      </c>
      <c r="AB11" t="str">
        <f>IF(Z11=0,IF(Q11="Won","Yes","No"),"No")</f>
        <v>Yes</v>
      </c>
      <c r="AC11">
        <f>IF(M11+J11=0,0,M11/J11)</f>
        <v>0.75</v>
      </c>
      <c r="AD11">
        <f>K11+J11</f>
        <v>12</v>
      </c>
    </row>
    <row r="12" spans="1:30" x14ac:dyDescent="0.2">
      <c r="A12">
        <v>31</v>
      </c>
      <c r="B12" s="5" t="s">
        <v>25</v>
      </c>
      <c r="C12" t="s">
        <v>24</v>
      </c>
      <c r="D12">
        <v>4</v>
      </c>
      <c r="E12">
        <v>11</v>
      </c>
      <c r="F12" s="18">
        <v>10</v>
      </c>
      <c r="G12" s="18">
        <v>4</v>
      </c>
      <c r="H12" s="18">
        <v>0</v>
      </c>
      <c r="I12" s="18">
        <v>5</v>
      </c>
      <c r="J12" s="18">
        <v>4</v>
      </c>
      <c r="K12" s="18">
        <v>6</v>
      </c>
      <c r="L12" s="2">
        <v>45955</v>
      </c>
      <c r="M12" s="18">
        <v>2</v>
      </c>
      <c r="N12" t="s">
        <v>25</v>
      </c>
      <c r="O12" t="s">
        <v>26</v>
      </c>
      <c r="P12" t="s">
        <v>30</v>
      </c>
      <c r="Q12" t="s">
        <v>23</v>
      </c>
      <c r="R12" t="s">
        <v>133</v>
      </c>
      <c r="S12" t="s">
        <v>122</v>
      </c>
      <c r="T12" t="str" cm="1">
        <f t="array" ref="T12">INDEX(_xlfn.TEXTSPLIT(U12,"il"),2)</f>
        <v>/images/msites/leagues/logos150/90286e0517bcccaea0f54d5b8e0868ca.png</v>
      </c>
      <c r="U12" s="19" t="s">
        <v>138</v>
      </c>
      <c r="V12">
        <f>IF(Q12="Won",3,IF(Q12="Lose",0,1))</f>
        <v>0</v>
      </c>
      <c r="W12">
        <f>MONTH(L12)</f>
        <v>10</v>
      </c>
      <c r="X12" t="str">
        <f>TEXT(L12,"dddd")</f>
        <v>יום שבת</v>
      </c>
      <c r="Y12" t="str">
        <f>TEXT(L12,"mmmm")</f>
        <v>אוקטובר</v>
      </c>
      <c r="Z12">
        <f>IF(B12=N12,1,0)</f>
        <v>1</v>
      </c>
      <c r="AA12" t="str">
        <f>IF(Z12=1,IF(Q12="Won","Yes","No"),"No")</f>
        <v>No</v>
      </c>
      <c r="AB12" t="str">
        <f>IF(Z12=0,IF(Q12="Won","Yes","No"),"No")</f>
        <v>No</v>
      </c>
      <c r="AC12">
        <f>IF(M12+J12=0,0,M12/J12)</f>
        <v>0.5</v>
      </c>
      <c r="AD12">
        <f>K12+J12</f>
        <v>10</v>
      </c>
    </row>
    <row r="13" spans="1:30" x14ac:dyDescent="0.2">
      <c r="A13">
        <v>32</v>
      </c>
      <c r="B13" s="5" t="s">
        <v>25</v>
      </c>
      <c r="C13" t="s">
        <v>36</v>
      </c>
      <c r="D13">
        <v>5</v>
      </c>
      <c r="E13">
        <v>7</v>
      </c>
      <c r="F13" s="18">
        <v>15</v>
      </c>
      <c r="G13" s="18">
        <v>4</v>
      </c>
      <c r="H13" s="18">
        <v>0</v>
      </c>
      <c r="I13" s="18">
        <v>2</v>
      </c>
      <c r="J13" s="18">
        <v>1</v>
      </c>
      <c r="K13" s="18">
        <v>6</v>
      </c>
      <c r="L13" s="2">
        <v>45927</v>
      </c>
      <c r="M13" s="18">
        <v>0</v>
      </c>
      <c r="N13" t="s">
        <v>22</v>
      </c>
      <c r="O13" t="s">
        <v>45</v>
      </c>
      <c r="P13" t="s">
        <v>46</v>
      </c>
      <c r="Q13" t="s">
        <v>23</v>
      </c>
      <c r="R13" t="s">
        <v>133</v>
      </c>
      <c r="S13" t="s">
        <v>122</v>
      </c>
      <c r="T13" t="str" cm="1">
        <f t="array" ref="T13">INDEX(_xlfn.TEXTSPLIT(U13,"il"),2)</f>
        <v>/images/msites/leagues/logos150/90286e0517bcccaea0f54d5b8e0868ca.png</v>
      </c>
      <c r="U13" s="19" t="s">
        <v>138</v>
      </c>
      <c r="V13">
        <f>IF(Q13="Won",3,IF(Q13="Lose",0,1))</f>
        <v>0</v>
      </c>
      <c r="W13">
        <f>MONTH(L13)</f>
        <v>9</v>
      </c>
      <c r="X13" t="str">
        <f>TEXT(L13,"dddd")</f>
        <v>יום שבת</v>
      </c>
      <c r="Y13" t="str">
        <f>TEXT(L13,"mmmm")</f>
        <v>ספטמבר</v>
      </c>
      <c r="Z13">
        <f>IF(B13=N13,1,0)</f>
        <v>0</v>
      </c>
      <c r="AA13" t="str">
        <f>IF(Z13=1,IF(Q13="Won","Yes","No"),"No")</f>
        <v>No</v>
      </c>
      <c r="AB13" t="str">
        <f>IF(Z13=0,IF(Q13="Won","Yes","No"),"No")</f>
        <v>No</v>
      </c>
      <c r="AC13">
        <f>IF(M13+J13=0,0,M13/J13)</f>
        <v>0</v>
      </c>
      <c r="AD13">
        <f>K13+J13</f>
        <v>7</v>
      </c>
    </row>
    <row r="14" spans="1:30" x14ac:dyDescent="0.2">
      <c r="A14">
        <v>33</v>
      </c>
      <c r="B14" s="5" t="s">
        <v>25</v>
      </c>
      <c r="C14" t="s">
        <v>27</v>
      </c>
      <c r="D14">
        <v>4</v>
      </c>
      <c r="E14">
        <v>12</v>
      </c>
      <c r="F14" s="18">
        <v>16</v>
      </c>
      <c r="G14" s="18">
        <v>2</v>
      </c>
      <c r="H14" s="18">
        <v>0</v>
      </c>
      <c r="I14" s="18">
        <v>4</v>
      </c>
      <c r="J14" s="18">
        <v>5</v>
      </c>
      <c r="K14" s="18">
        <v>1</v>
      </c>
      <c r="L14" s="2">
        <v>45948</v>
      </c>
      <c r="M14" s="18">
        <v>2</v>
      </c>
      <c r="N14" t="s">
        <v>41</v>
      </c>
      <c r="O14" t="s">
        <v>51</v>
      </c>
      <c r="P14" t="s">
        <v>52</v>
      </c>
      <c r="Q14" t="s">
        <v>20</v>
      </c>
      <c r="R14" t="s">
        <v>133</v>
      </c>
      <c r="S14" t="s">
        <v>122</v>
      </c>
      <c r="T14" t="str" cm="1">
        <f t="array" ref="T14">INDEX(_xlfn.TEXTSPLIT(U14,"il"),2)</f>
        <v>/images/msites/leagues/logos150/90286e0517bcccaea0f54d5b8e0868ca.png</v>
      </c>
      <c r="U14" s="19" t="s">
        <v>138</v>
      </c>
      <c r="V14">
        <f>IF(Q14="Won",3,IF(Q14="Lose",0,1))</f>
        <v>3</v>
      </c>
      <c r="W14">
        <f>MONTH(L14)</f>
        <v>10</v>
      </c>
      <c r="X14" t="str">
        <f>TEXT(L14,"dddd")</f>
        <v>יום שבת</v>
      </c>
      <c r="Y14" t="str">
        <f>TEXT(L14,"mmmm")</f>
        <v>אוקטובר</v>
      </c>
      <c r="Z14">
        <f>IF(B14=N14,1,0)</f>
        <v>0</v>
      </c>
      <c r="AA14" t="str">
        <f>IF(Z14=1,IF(Q14="Won","Yes","No"),"No")</f>
        <v>No</v>
      </c>
      <c r="AB14" t="str">
        <f>IF(Z14=0,IF(Q14="Won","Yes","No"),"No")</f>
        <v>Yes</v>
      </c>
      <c r="AC14">
        <f>IF(M14+J14=0,0,M14/J14)</f>
        <v>0.4</v>
      </c>
      <c r="AD14">
        <f>K14+J14</f>
        <v>6</v>
      </c>
    </row>
    <row r="15" spans="1:30" x14ac:dyDescent="0.2">
      <c r="A15">
        <v>34</v>
      </c>
      <c r="B15" s="5" t="s">
        <v>25</v>
      </c>
      <c r="C15" t="s">
        <v>31</v>
      </c>
      <c r="D15">
        <v>7</v>
      </c>
      <c r="E15">
        <v>19</v>
      </c>
      <c r="F15" s="18">
        <v>18</v>
      </c>
      <c r="G15" s="18">
        <v>3</v>
      </c>
      <c r="H15" s="18">
        <v>0</v>
      </c>
      <c r="I15" s="18">
        <v>1</v>
      </c>
      <c r="J15" s="18">
        <v>3</v>
      </c>
      <c r="K15" s="18">
        <v>10</v>
      </c>
      <c r="L15" s="2">
        <v>45934</v>
      </c>
      <c r="M15" s="18">
        <v>0</v>
      </c>
      <c r="N15" t="s">
        <v>30</v>
      </c>
      <c r="O15" t="s">
        <v>30</v>
      </c>
      <c r="P15" t="s">
        <v>30</v>
      </c>
      <c r="Q15" t="s">
        <v>28</v>
      </c>
      <c r="R15" t="s">
        <v>133</v>
      </c>
      <c r="S15" t="s">
        <v>122</v>
      </c>
      <c r="T15" t="str" cm="1">
        <f t="array" ref="T15">INDEX(_xlfn.TEXTSPLIT(U15,"il"),2)</f>
        <v>/images/msites/leagues/logos150/90286e0517bcccaea0f54d5b8e0868ca.png</v>
      </c>
      <c r="U15" s="19" t="s">
        <v>138</v>
      </c>
      <c r="V15">
        <f>IF(Q15="Won",3,IF(Q15="Lose",0,1))</f>
        <v>1</v>
      </c>
      <c r="W15">
        <f>MONTH(L15)</f>
        <v>10</v>
      </c>
      <c r="X15" t="str">
        <f>TEXT(L15,"dddd")</f>
        <v>יום שבת</v>
      </c>
      <c r="Y15" t="str">
        <f>TEXT(L15,"mmmm")</f>
        <v>אוקטובר</v>
      </c>
      <c r="Z15">
        <f>IF(B15=N15,1,0)</f>
        <v>0</v>
      </c>
      <c r="AA15" t="str">
        <f>IF(Z15=1,IF(Q15="Won","Yes","No"),"No")</f>
        <v>No</v>
      </c>
      <c r="AB15" t="str">
        <f>IF(Z15=0,IF(Q15="Won","Yes","No"),"No")</f>
        <v>No</v>
      </c>
      <c r="AC15">
        <f>IF(M15+J15=0,0,M15/J15)</f>
        <v>0</v>
      </c>
      <c r="AD15">
        <f>K15+J15</f>
        <v>13</v>
      </c>
    </row>
    <row r="16" spans="1:30" x14ac:dyDescent="0.2">
      <c r="A16">
        <v>35</v>
      </c>
      <c r="B16" s="5" t="s">
        <v>25</v>
      </c>
      <c r="C16" t="s">
        <v>47</v>
      </c>
      <c r="D16">
        <v>2</v>
      </c>
      <c r="E16">
        <v>14</v>
      </c>
      <c r="F16" s="18">
        <v>14</v>
      </c>
      <c r="G16" s="18">
        <v>4</v>
      </c>
      <c r="H16" s="18">
        <v>0</v>
      </c>
      <c r="I16" s="18">
        <v>0</v>
      </c>
      <c r="J16" s="18">
        <v>4</v>
      </c>
      <c r="K16" s="18">
        <v>2</v>
      </c>
      <c r="L16" s="2">
        <v>45921</v>
      </c>
      <c r="M16" s="18">
        <v>1</v>
      </c>
      <c r="N16" t="s">
        <v>56</v>
      </c>
      <c r="O16" t="s">
        <v>54</v>
      </c>
      <c r="P16" t="s">
        <v>55</v>
      </c>
      <c r="Q16" t="s">
        <v>28</v>
      </c>
      <c r="R16" t="s">
        <v>133</v>
      </c>
      <c r="S16" t="s">
        <v>122</v>
      </c>
      <c r="T16" t="str" cm="1">
        <f t="array" ref="T16">INDEX(_xlfn.TEXTSPLIT(U16,"il"),2)</f>
        <v>/images/msites/leagues/logos150/90286e0517bcccaea0f54d5b8e0868ca.png</v>
      </c>
      <c r="U16" s="19" t="s">
        <v>138</v>
      </c>
      <c r="V16">
        <f>IF(Q16="Won",3,IF(Q16="Lose",0,1))</f>
        <v>1</v>
      </c>
      <c r="W16">
        <f>MONTH(L16)</f>
        <v>9</v>
      </c>
      <c r="X16" t="str">
        <f>TEXT(L16,"dddd")</f>
        <v>יום ראשון</v>
      </c>
      <c r="Y16" t="str">
        <f>TEXT(L16,"mmmm")</f>
        <v>ספטמבר</v>
      </c>
      <c r="Z16">
        <f>IF(B16=N16,1,0)</f>
        <v>0</v>
      </c>
      <c r="AA16" t="str">
        <f>IF(Z16=1,IF(Q16="Won","Yes","No"),"No")</f>
        <v>No</v>
      </c>
      <c r="AB16" t="str">
        <f>IF(Z16=0,IF(Q16="Won","Yes","No"),"No")</f>
        <v>No</v>
      </c>
      <c r="AC16">
        <f>IF(M16+J16=0,0,M16/J16)</f>
        <v>0.25</v>
      </c>
      <c r="AD16">
        <f>K16+J16</f>
        <v>6</v>
      </c>
    </row>
    <row r="17" spans="1:30" x14ac:dyDescent="0.2">
      <c r="A17">
        <v>41</v>
      </c>
      <c r="B17" s="6" t="s">
        <v>29</v>
      </c>
      <c r="C17" t="s">
        <v>27</v>
      </c>
      <c r="D17">
        <v>2</v>
      </c>
      <c r="E17">
        <v>17</v>
      </c>
      <c r="F17" s="18">
        <v>15</v>
      </c>
      <c r="G17" s="18">
        <v>3</v>
      </c>
      <c r="H17" s="18">
        <v>0</v>
      </c>
      <c r="I17" s="18">
        <v>3</v>
      </c>
      <c r="J17" s="18">
        <v>1</v>
      </c>
      <c r="K17" s="18">
        <v>5</v>
      </c>
      <c r="L17" s="2">
        <v>45950</v>
      </c>
      <c r="M17" s="18">
        <v>0</v>
      </c>
      <c r="N17" t="s">
        <v>30</v>
      </c>
      <c r="O17" t="s">
        <v>30</v>
      </c>
      <c r="P17" t="s">
        <v>30</v>
      </c>
      <c r="Q17" t="s">
        <v>28</v>
      </c>
      <c r="R17" t="s">
        <v>133</v>
      </c>
      <c r="S17" t="s">
        <v>123</v>
      </c>
      <c r="T17" t="str" cm="1">
        <f t="array" ref="T17">INDEX(_xlfn.TEXTSPLIT(U17,"il"),2)</f>
        <v>/images/msites/leagues/logos150/68cf8e707668cd24433ae9142eb49a03.png</v>
      </c>
      <c r="U17" s="19" t="s">
        <v>144</v>
      </c>
      <c r="V17">
        <f>IF(Q17="Won",3,IF(Q17="Lose",0,1))</f>
        <v>1</v>
      </c>
      <c r="W17">
        <f>MONTH(L17)</f>
        <v>10</v>
      </c>
      <c r="X17" t="str">
        <f>TEXT(L17,"dddd")</f>
        <v>יום שני</v>
      </c>
      <c r="Y17" t="str">
        <f>TEXT(L17,"mmmm")</f>
        <v>אוקטובר</v>
      </c>
      <c r="Z17">
        <f>IF(B17=N17,1,0)</f>
        <v>0</v>
      </c>
      <c r="AA17" t="str">
        <f>IF(Z17=1,IF(Q17="Won","Yes","No"),"No")</f>
        <v>No</v>
      </c>
      <c r="AB17" t="str">
        <f>IF(Z17=0,IF(Q17="Won","Yes","No"),"No")</f>
        <v>No</v>
      </c>
      <c r="AC17">
        <f>IF(M17+J17=0,0,M17/J17)</f>
        <v>0</v>
      </c>
      <c r="AD17">
        <f>K17+J17</f>
        <v>6</v>
      </c>
    </row>
    <row r="18" spans="1:30" x14ac:dyDescent="0.2">
      <c r="A18">
        <v>42</v>
      </c>
      <c r="B18" s="6" t="s">
        <v>29</v>
      </c>
      <c r="C18" t="s">
        <v>24</v>
      </c>
      <c r="D18">
        <v>5</v>
      </c>
      <c r="E18">
        <v>10</v>
      </c>
      <c r="F18" s="18">
        <v>11</v>
      </c>
      <c r="G18" s="18">
        <v>1</v>
      </c>
      <c r="H18" s="18">
        <v>0</v>
      </c>
      <c r="I18" s="18">
        <v>1</v>
      </c>
      <c r="J18" s="18">
        <v>3</v>
      </c>
      <c r="K18" s="18">
        <v>6</v>
      </c>
      <c r="L18" s="2">
        <v>45934</v>
      </c>
      <c r="M18" s="18">
        <v>2</v>
      </c>
      <c r="N18" t="s">
        <v>48</v>
      </c>
      <c r="O18" t="s">
        <v>60</v>
      </c>
      <c r="P18" t="s">
        <v>50</v>
      </c>
      <c r="Q18" t="s">
        <v>20</v>
      </c>
      <c r="R18" t="s">
        <v>133</v>
      </c>
      <c r="S18" t="s">
        <v>123</v>
      </c>
      <c r="T18" t="str" cm="1">
        <f t="array" ref="T18">INDEX(_xlfn.TEXTSPLIT(U18,"il"),2)</f>
        <v>/images/msites/leagues/logos150/68cf8e707668cd24433ae9142eb49a03.png</v>
      </c>
      <c r="U18" s="19" t="s">
        <v>144</v>
      </c>
      <c r="V18">
        <f>IF(Q18="Won",3,IF(Q18="Lose",0,1))</f>
        <v>3</v>
      </c>
      <c r="W18">
        <f>MONTH(L18)</f>
        <v>10</v>
      </c>
      <c r="X18" t="str">
        <f>TEXT(L18,"dddd")</f>
        <v>יום שבת</v>
      </c>
      <c r="Y18" t="str">
        <f>TEXT(L18,"mmmm")</f>
        <v>אוקטובר</v>
      </c>
      <c r="Z18">
        <f>IF(B18=N18,1,0)</f>
        <v>1</v>
      </c>
      <c r="AA18" t="str">
        <f>IF(Z18=1,IF(Q18="Won","Yes","No"),"No")</f>
        <v>Yes</v>
      </c>
      <c r="AB18" t="str">
        <f>IF(Z18=0,IF(Q18="Won","Yes","No"),"No")</f>
        <v>No</v>
      </c>
      <c r="AC18">
        <f>IF(M18+J18=0,0,M18/J18)</f>
        <v>0.66666666666666663</v>
      </c>
      <c r="AD18">
        <f>K18+J18</f>
        <v>9</v>
      </c>
    </row>
    <row r="19" spans="1:30" x14ac:dyDescent="0.2">
      <c r="A19">
        <v>43</v>
      </c>
      <c r="B19" s="6" t="s">
        <v>29</v>
      </c>
      <c r="C19" t="s">
        <v>36</v>
      </c>
      <c r="D19">
        <v>4</v>
      </c>
      <c r="E19">
        <v>15</v>
      </c>
      <c r="F19" s="18">
        <v>18</v>
      </c>
      <c r="G19" s="18">
        <v>3</v>
      </c>
      <c r="H19" s="18">
        <v>0</v>
      </c>
      <c r="I19" s="18">
        <v>1</v>
      </c>
      <c r="J19" s="18">
        <v>4</v>
      </c>
      <c r="K19" s="18">
        <v>5</v>
      </c>
      <c r="L19" s="2">
        <v>45927</v>
      </c>
      <c r="M19" s="18">
        <v>2</v>
      </c>
      <c r="N19" t="s">
        <v>48</v>
      </c>
      <c r="O19" t="s">
        <v>61</v>
      </c>
      <c r="P19" t="s">
        <v>62</v>
      </c>
      <c r="Q19" t="s">
        <v>20</v>
      </c>
      <c r="R19" t="s">
        <v>133</v>
      </c>
      <c r="S19" t="s">
        <v>123</v>
      </c>
      <c r="T19" t="str" cm="1">
        <f t="array" ref="T19">INDEX(_xlfn.TEXTSPLIT(U19,"il"),2)</f>
        <v>/images/msites/leagues/logos150/68cf8e707668cd24433ae9142eb49a03.png</v>
      </c>
      <c r="U19" s="19" t="s">
        <v>144</v>
      </c>
      <c r="V19">
        <f>IF(Q19="Won",3,IF(Q19="Lose",0,1))</f>
        <v>3</v>
      </c>
      <c r="W19">
        <f>MONTH(L19)</f>
        <v>9</v>
      </c>
      <c r="X19" t="str">
        <f>TEXT(L19,"dddd")</f>
        <v>יום שבת</v>
      </c>
      <c r="Y19" t="str">
        <f>TEXT(L19,"mmmm")</f>
        <v>ספטמבר</v>
      </c>
      <c r="Z19">
        <f>IF(B19=N19,1,0)</f>
        <v>1</v>
      </c>
      <c r="AA19" t="str">
        <f>IF(Z19=1,IF(Q19="Won","Yes","No"),"No")</f>
        <v>Yes</v>
      </c>
      <c r="AB19" t="str">
        <f>IF(Z19=0,IF(Q19="Won","Yes","No"),"No")</f>
        <v>No</v>
      </c>
      <c r="AC19">
        <f>IF(M19+J19=0,0,M19/J19)</f>
        <v>0.5</v>
      </c>
      <c r="AD19">
        <f>K19+J19</f>
        <v>9</v>
      </c>
    </row>
    <row r="20" spans="1:30" x14ac:dyDescent="0.2">
      <c r="A20">
        <v>44</v>
      </c>
      <c r="B20" s="6" t="s">
        <v>29</v>
      </c>
      <c r="C20" t="s">
        <v>47</v>
      </c>
      <c r="D20">
        <v>2</v>
      </c>
      <c r="E20">
        <v>16</v>
      </c>
      <c r="F20" s="18">
        <v>19</v>
      </c>
      <c r="G20" s="18">
        <v>3</v>
      </c>
      <c r="H20" s="18">
        <v>0</v>
      </c>
      <c r="I20" s="18">
        <v>0</v>
      </c>
      <c r="J20" s="18">
        <v>3</v>
      </c>
      <c r="K20" s="18">
        <v>1</v>
      </c>
      <c r="L20" s="2">
        <v>45920</v>
      </c>
      <c r="M20" s="18">
        <v>2</v>
      </c>
      <c r="N20" t="s">
        <v>48</v>
      </c>
      <c r="O20" t="s">
        <v>49</v>
      </c>
      <c r="P20" t="s">
        <v>50</v>
      </c>
      <c r="Q20" t="s">
        <v>23</v>
      </c>
      <c r="R20" t="s">
        <v>133</v>
      </c>
      <c r="S20" t="s">
        <v>123</v>
      </c>
      <c r="T20" t="str" cm="1">
        <f t="array" ref="T20">INDEX(_xlfn.TEXTSPLIT(U20,"il"),2)</f>
        <v>/images/msites/leagues/logos150/68cf8e707668cd24433ae9142eb49a03.png</v>
      </c>
      <c r="U20" s="19" t="s">
        <v>144</v>
      </c>
      <c r="V20">
        <f>IF(Q20="Won",3,IF(Q20="Lose",0,1))</f>
        <v>0</v>
      </c>
      <c r="W20">
        <f>MONTH(L20)</f>
        <v>9</v>
      </c>
      <c r="X20" t="str">
        <f>TEXT(L20,"dddd")</f>
        <v>יום שבת</v>
      </c>
      <c r="Y20" t="str">
        <f>TEXT(L20,"mmmm")</f>
        <v>ספטמבר</v>
      </c>
      <c r="Z20">
        <f>IF(B20=N20,1,0)</f>
        <v>1</v>
      </c>
      <c r="AA20" t="str">
        <f>IF(Z20=1,IF(Q20="Won","Yes","No"),"No")</f>
        <v>No</v>
      </c>
      <c r="AB20" t="str">
        <f>IF(Z20=0,IF(Q20="Won","Yes","No"),"No")</f>
        <v>No</v>
      </c>
      <c r="AC20">
        <f>IF(M20+J20=0,0,M20/J20)</f>
        <v>0.66666666666666663</v>
      </c>
      <c r="AD20">
        <f>K20+J20</f>
        <v>4</v>
      </c>
    </row>
    <row r="21" spans="1:30" x14ac:dyDescent="0.2">
      <c r="A21">
        <v>45</v>
      </c>
      <c r="B21" s="6" t="s">
        <v>29</v>
      </c>
      <c r="C21" t="s">
        <v>63</v>
      </c>
      <c r="D21">
        <v>4</v>
      </c>
      <c r="E21">
        <v>15</v>
      </c>
      <c r="F21" s="18">
        <v>13</v>
      </c>
      <c r="G21" s="18">
        <v>5</v>
      </c>
      <c r="H21" s="18">
        <v>0</v>
      </c>
      <c r="I21" s="18">
        <v>1</v>
      </c>
      <c r="J21" s="18">
        <v>2</v>
      </c>
      <c r="K21" s="18">
        <v>5</v>
      </c>
      <c r="L21" s="2">
        <v>45915</v>
      </c>
      <c r="M21" s="18">
        <v>1</v>
      </c>
      <c r="N21" t="s">
        <v>56</v>
      </c>
      <c r="O21" t="s">
        <v>54</v>
      </c>
      <c r="P21" t="s">
        <v>64</v>
      </c>
      <c r="Q21" t="s">
        <v>23</v>
      </c>
      <c r="R21" t="s">
        <v>133</v>
      </c>
      <c r="S21" t="s">
        <v>123</v>
      </c>
      <c r="T21" t="str" cm="1">
        <f t="array" ref="T21">INDEX(_xlfn.TEXTSPLIT(U21,"il"),2)</f>
        <v>/images/msites/leagues/logos150/68cf8e707668cd24433ae9142eb49a03.png</v>
      </c>
      <c r="U21" s="19" t="s">
        <v>144</v>
      </c>
      <c r="V21">
        <f>IF(Q21="Won",3,IF(Q21="Lose",0,1))</f>
        <v>0</v>
      </c>
      <c r="W21">
        <f>MONTH(L21)</f>
        <v>9</v>
      </c>
      <c r="X21" t="str">
        <f>TEXT(L21,"dddd")</f>
        <v>יום שני</v>
      </c>
      <c r="Y21" t="str">
        <f>TEXT(L21,"mmmm")</f>
        <v>ספטמבר</v>
      </c>
      <c r="Z21">
        <f>IF(B21=N21,1,0)</f>
        <v>0</v>
      </c>
      <c r="AA21" t="str">
        <f>IF(Z21=1,IF(Q21="Won","Yes","No"),"No")</f>
        <v>No</v>
      </c>
      <c r="AB21" t="str">
        <f>IF(Z21=0,IF(Q21="Won","Yes","No"),"No")</f>
        <v>No</v>
      </c>
      <c r="AC21">
        <f>IF(M21+J21=0,0,M21/J21)</f>
        <v>0.5</v>
      </c>
      <c r="AD21">
        <f>K21+J21</f>
        <v>7</v>
      </c>
    </row>
    <row r="22" spans="1:30" x14ac:dyDescent="0.2">
      <c r="A22">
        <v>51</v>
      </c>
      <c r="B22" s="8" t="s">
        <v>41</v>
      </c>
      <c r="C22" s="7" t="s">
        <v>36</v>
      </c>
      <c r="D22">
        <v>3</v>
      </c>
      <c r="E22">
        <v>12</v>
      </c>
      <c r="F22" s="18">
        <v>8</v>
      </c>
      <c r="G22" s="18">
        <v>5</v>
      </c>
      <c r="H22" s="18">
        <v>0</v>
      </c>
      <c r="I22" s="18">
        <v>4</v>
      </c>
      <c r="J22" s="18">
        <v>3</v>
      </c>
      <c r="K22" s="18">
        <v>4</v>
      </c>
      <c r="L22" s="2">
        <v>45927</v>
      </c>
      <c r="M22" s="18">
        <v>1</v>
      </c>
      <c r="N22" t="s">
        <v>41</v>
      </c>
      <c r="O22" t="s">
        <v>35</v>
      </c>
      <c r="P22" t="s">
        <v>30</v>
      </c>
      <c r="Q22" t="s">
        <v>23</v>
      </c>
      <c r="R22" t="s">
        <v>133</v>
      </c>
      <c r="S22" t="s">
        <v>124</v>
      </c>
      <c r="T22" t="str" cm="1">
        <f t="array" ref="T22">INDEX(_xlfn.TEXTSPLIT(U22,"il"),2)</f>
        <v>/images/msites/leagues/logos150/5a7bfad9613f938e8932ef2a31a97ce0.png</v>
      </c>
      <c r="U22" s="19" t="s">
        <v>141</v>
      </c>
      <c r="V22">
        <f>IF(Q22="Won",3,IF(Q22="Lose",0,1))</f>
        <v>0</v>
      </c>
      <c r="W22">
        <f>MONTH(L22)</f>
        <v>9</v>
      </c>
      <c r="X22" t="str">
        <f>TEXT(L22,"dddd")</f>
        <v>יום שבת</v>
      </c>
      <c r="Y22" t="str">
        <f>TEXT(L22,"mmmm")</f>
        <v>ספטמבר</v>
      </c>
      <c r="Z22">
        <f>IF(B22=N22,1,0)</f>
        <v>1</v>
      </c>
      <c r="AA22" t="str">
        <f>IF(Z22=1,IF(Q22="Won","Yes","No"),"No")</f>
        <v>No</v>
      </c>
      <c r="AB22" t="str">
        <f>IF(Z22=0,IF(Q22="Won","Yes","No"),"No")</f>
        <v>No</v>
      </c>
      <c r="AC22">
        <f>IF(M22+J22=0,0,M22/J22)</f>
        <v>0.33333333333333331</v>
      </c>
      <c r="AD22">
        <f>K22+J22</f>
        <v>7</v>
      </c>
    </row>
    <row r="23" spans="1:30" x14ac:dyDescent="0.2">
      <c r="A23">
        <v>52</v>
      </c>
      <c r="B23" s="8" t="s">
        <v>41</v>
      </c>
      <c r="C23" t="s">
        <v>27</v>
      </c>
      <c r="D23">
        <v>4</v>
      </c>
      <c r="E23">
        <v>16</v>
      </c>
      <c r="F23" s="18">
        <v>12</v>
      </c>
      <c r="G23" s="18">
        <v>6</v>
      </c>
      <c r="H23" s="18">
        <v>1</v>
      </c>
      <c r="I23" s="18">
        <v>7</v>
      </c>
      <c r="J23" s="18">
        <v>8</v>
      </c>
      <c r="K23" s="18">
        <v>1</v>
      </c>
      <c r="L23" s="2">
        <v>45948</v>
      </c>
      <c r="M23" s="18">
        <v>1</v>
      </c>
      <c r="N23" t="s">
        <v>41</v>
      </c>
      <c r="O23" t="s">
        <v>51</v>
      </c>
      <c r="P23" t="s">
        <v>52</v>
      </c>
      <c r="Q23" t="s">
        <v>23</v>
      </c>
      <c r="R23" t="s">
        <v>133</v>
      </c>
      <c r="S23" t="s">
        <v>124</v>
      </c>
      <c r="T23" t="str" cm="1">
        <f t="array" ref="T23">INDEX(_xlfn.TEXTSPLIT(U23,"il"),2)</f>
        <v>/images/msites/leagues/logos150/5a7bfad9613f938e8932ef2a31a97ce0.png</v>
      </c>
      <c r="U23" s="19" t="s">
        <v>141</v>
      </c>
      <c r="V23">
        <f>IF(Q23="Won",3,IF(Q23="Lose",0,1))</f>
        <v>0</v>
      </c>
      <c r="W23">
        <f>MONTH(L23)</f>
        <v>10</v>
      </c>
      <c r="X23" t="str">
        <f>TEXT(L23,"dddd")</f>
        <v>יום שבת</v>
      </c>
      <c r="Y23" t="str">
        <f>TEXT(L23,"mmmm")</f>
        <v>אוקטובר</v>
      </c>
      <c r="Z23">
        <f>IF(B23=N23,1,0)</f>
        <v>1</v>
      </c>
      <c r="AA23" t="str">
        <f>IF(Z23=1,IF(Q23="Won","Yes","No"),"No")</f>
        <v>No</v>
      </c>
      <c r="AB23" t="str">
        <f>IF(Z23=0,IF(Q23="Won","Yes","No"),"No")</f>
        <v>No</v>
      </c>
      <c r="AC23">
        <f>IF(M23+J23=0,0,M23/J23)</f>
        <v>0.125</v>
      </c>
      <c r="AD23">
        <f>K23+J23</f>
        <v>9</v>
      </c>
    </row>
    <row r="24" spans="1:30" x14ac:dyDescent="0.2">
      <c r="A24">
        <v>53</v>
      </c>
      <c r="B24" s="8" t="s">
        <v>41</v>
      </c>
      <c r="C24" t="s">
        <v>24</v>
      </c>
      <c r="D24">
        <v>8</v>
      </c>
      <c r="E24">
        <v>11</v>
      </c>
      <c r="F24" s="18">
        <v>9</v>
      </c>
      <c r="G24" s="18">
        <v>3</v>
      </c>
      <c r="H24" s="18">
        <v>0</v>
      </c>
      <c r="I24" s="18">
        <v>3</v>
      </c>
      <c r="J24" s="18">
        <v>3</v>
      </c>
      <c r="K24" s="18">
        <v>6</v>
      </c>
      <c r="L24" s="2">
        <v>45934</v>
      </c>
      <c r="M24" s="18">
        <v>0</v>
      </c>
      <c r="N24" t="s">
        <v>29</v>
      </c>
      <c r="O24" t="s">
        <v>60</v>
      </c>
      <c r="P24" t="s">
        <v>50</v>
      </c>
      <c r="Q24" t="s">
        <v>23</v>
      </c>
      <c r="R24" t="s">
        <v>133</v>
      </c>
      <c r="S24" t="s">
        <v>124</v>
      </c>
      <c r="T24" t="str" cm="1">
        <f t="array" ref="T24">INDEX(_xlfn.TEXTSPLIT(U24,"il"),2)</f>
        <v>/images/msites/leagues/logos150/5a7bfad9613f938e8932ef2a31a97ce0.png</v>
      </c>
      <c r="U24" s="19" t="s">
        <v>141</v>
      </c>
      <c r="V24">
        <f>IF(Q24="Won",3,IF(Q24="Lose",0,1))</f>
        <v>0</v>
      </c>
      <c r="W24">
        <f>MONTH(L24)</f>
        <v>10</v>
      </c>
      <c r="X24" t="str">
        <f>TEXT(L24,"dddd")</f>
        <v>יום שבת</v>
      </c>
      <c r="Y24" t="str">
        <f>TEXT(L24,"mmmm")</f>
        <v>אוקטובר</v>
      </c>
      <c r="Z24">
        <f>IF(B24=N24,1,0)</f>
        <v>0</v>
      </c>
      <c r="AA24" t="str">
        <f>IF(Z24=1,IF(Q24="Won","Yes","No"),"No")</f>
        <v>No</v>
      </c>
      <c r="AB24" t="str">
        <f>IF(Z24=0,IF(Q24="Won","Yes","No"),"No")</f>
        <v>No</v>
      </c>
      <c r="AC24">
        <f>IF(M24+J24=0,0,M24/J24)</f>
        <v>0</v>
      </c>
      <c r="AD24">
        <f>K24+J24</f>
        <v>9</v>
      </c>
    </row>
    <row r="25" spans="1:30" x14ac:dyDescent="0.2">
      <c r="A25">
        <v>54</v>
      </c>
      <c r="B25" s="8" t="s">
        <v>41</v>
      </c>
      <c r="C25" t="s">
        <v>36</v>
      </c>
      <c r="D25">
        <v>3</v>
      </c>
      <c r="E25">
        <v>12</v>
      </c>
      <c r="F25" s="18">
        <v>8</v>
      </c>
      <c r="G25" s="18">
        <v>5</v>
      </c>
      <c r="H25" s="18">
        <v>0</v>
      </c>
      <c r="I25" s="18">
        <v>4</v>
      </c>
      <c r="J25" s="18">
        <v>3</v>
      </c>
      <c r="K25" s="18">
        <v>2</v>
      </c>
      <c r="L25" s="2">
        <v>45927</v>
      </c>
      <c r="M25" s="18">
        <v>1</v>
      </c>
      <c r="N25" t="s">
        <v>41</v>
      </c>
      <c r="O25" t="s">
        <v>35</v>
      </c>
      <c r="P25" t="s">
        <v>30</v>
      </c>
      <c r="Q25" t="s">
        <v>23</v>
      </c>
      <c r="R25" t="s">
        <v>133</v>
      </c>
      <c r="S25" t="s">
        <v>124</v>
      </c>
      <c r="T25" t="str" cm="1">
        <f t="array" ref="T25">INDEX(_xlfn.TEXTSPLIT(U25,"il"),2)</f>
        <v>/images/msites/leagues/logos150/5a7bfad9613f938e8932ef2a31a97ce0.png</v>
      </c>
      <c r="U25" s="19" t="s">
        <v>141</v>
      </c>
      <c r="V25">
        <f>IF(Q25="Won",3,IF(Q25="Lose",0,1))</f>
        <v>0</v>
      </c>
      <c r="W25">
        <f>MONTH(L25)</f>
        <v>9</v>
      </c>
      <c r="X25" t="str">
        <f>TEXT(L25,"dddd")</f>
        <v>יום שבת</v>
      </c>
      <c r="Y25" t="str">
        <f>TEXT(L25,"mmmm")</f>
        <v>ספטמבר</v>
      </c>
      <c r="Z25">
        <f>IF(B25=N25,1,0)</f>
        <v>1</v>
      </c>
      <c r="AA25" t="str">
        <f>IF(Z25=1,IF(Q25="Won","Yes","No"),"No")</f>
        <v>No</v>
      </c>
      <c r="AB25" t="str">
        <f>IF(Z25=0,IF(Q25="Won","Yes","No"),"No")</f>
        <v>No</v>
      </c>
      <c r="AC25">
        <f>IF(M25+J25=0,0,M25/J25)</f>
        <v>0.33333333333333331</v>
      </c>
      <c r="AD25">
        <f>K25+J25</f>
        <v>5</v>
      </c>
    </row>
    <row r="26" spans="1:30" x14ac:dyDescent="0.2">
      <c r="A26">
        <v>55</v>
      </c>
      <c r="B26" s="8" t="s">
        <v>41</v>
      </c>
      <c r="C26" t="s">
        <v>47</v>
      </c>
      <c r="D26">
        <v>1</v>
      </c>
      <c r="E26">
        <v>15</v>
      </c>
      <c r="F26" s="18">
        <v>9</v>
      </c>
      <c r="G26" s="18">
        <v>4</v>
      </c>
      <c r="H26" s="18">
        <v>0</v>
      </c>
      <c r="I26" s="18">
        <v>1</v>
      </c>
      <c r="J26" s="18">
        <v>4</v>
      </c>
      <c r="K26" s="18">
        <v>4</v>
      </c>
      <c r="L26" s="2">
        <v>45920</v>
      </c>
      <c r="M26" s="18">
        <v>1</v>
      </c>
      <c r="N26" t="s">
        <v>65</v>
      </c>
      <c r="O26" t="s">
        <v>66</v>
      </c>
      <c r="P26" t="s">
        <v>67</v>
      </c>
      <c r="Q26" t="s">
        <v>23</v>
      </c>
      <c r="R26" t="s">
        <v>133</v>
      </c>
      <c r="S26" t="s">
        <v>124</v>
      </c>
      <c r="T26" t="str" cm="1">
        <f t="array" ref="T26">INDEX(_xlfn.TEXTSPLIT(U26,"il"),2)</f>
        <v>/images/msites/leagues/logos150/5a7bfad9613f938e8932ef2a31a97ce0.png</v>
      </c>
      <c r="U26" s="19" t="s">
        <v>141</v>
      </c>
      <c r="V26">
        <f>IF(Q26="Won",3,IF(Q26="Lose",0,1))</f>
        <v>0</v>
      </c>
      <c r="W26">
        <f>MONTH(L26)</f>
        <v>9</v>
      </c>
      <c r="X26" t="str">
        <f>TEXT(L26,"dddd")</f>
        <v>יום שבת</v>
      </c>
      <c r="Y26" t="str">
        <f>TEXT(L26,"mmmm")</f>
        <v>ספטמבר</v>
      </c>
      <c r="Z26">
        <f>IF(B26=N26,1,0)</f>
        <v>0</v>
      </c>
      <c r="AA26" t="str">
        <f>IF(Z26=1,IF(Q26="Won","Yes","No"),"No")</f>
        <v>No</v>
      </c>
      <c r="AB26" t="str">
        <f>IF(Z26=0,IF(Q26="Won","Yes","No"),"No")</f>
        <v>No</v>
      </c>
      <c r="AC26">
        <f>IF(M26+J26=0,0,M26/J26)</f>
        <v>0.25</v>
      </c>
      <c r="AD26">
        <f>K26+J26</f>
        <v>8</v>
      </c>
    </row>
    <row r="27" spans="1:30" x14ac:dyDescent="0.2">
      <c r="A27">
        <v>61</v>
      </c>
      <c r="B27" s="9" t="s">
        <v>43</v>
      </c>
      <c r="C27" t="s">
        <v>24</v>
      </c>
      <c r="D27">
        <v>5</v>
      </c>
      <c r="E27">
        <v>12</v>
      </c>
      <c r="F27" s="18">
        <v>11</v>
      </c>
      <c r="G27" s="18">
        <v>4</v>
      </c>
      <c r="H27" s="18">
        <v>0</v>
      </c>
      <c r="I27" s="18">
        <v>1</v>
      </c>
      <c r="J27" s="18">
        <v>7</v>
      </c>
      <c r="K27" s="18">
        <v>0</v>
      </c>
      <c r="L27" s="2">
        <v>45955</v>
      </c>
      <c r="M27" s="18">
        <v>2</v>
      </c>
      <c r="N27" t="s">
        <v>43</v>
      </c>
      <c r="O27" t="s">
        <v>37</v>
      </c>
      <c r="P27" t="s">
        <v>38</v>
      </c>
      <c r="Q27" t="s">
        <v>23</v>
      </c>
      <c r="R27" t="s">
        <v>133</v>
      </c>
      <c r="S27" t="s">
        <v>125</v>
      </c>
      <c r="T27" t="str" cm="1">
        <f t="array" ref="T27">INDEX(_xlfn.TEXTSPLIT(U27,"il"),2)</f>
        <v>/images/msites/leagues/logos150/14f6f845ed072f3a9a97711c490bd3d8.png</v>
      </c>
      <c r="U27" s="19" t="s">
        <v>145</v>
      </c>
      <c r="V27">
        <f>IF(Q27="Won",3,IF(Q27="Lose",0,1))</f>
        <v>0</v>
      </c>
      <c r="W27">
        <f>MONTH(L27)</f>
        <v>10</v>
      </c>
      <c r="X27" t="str">
        <f>TEXT(L27,"dddd")</f>
        <v>יום שבת</v>
      </c>
      <c r="Y27" t="str">
        <f>TEXT(L27,"mmmm")</f>
        <v>אוקטובר</v>
      </c>
      <c r="Z27">
        <f>IF(B27=N27,1,0)</f>
        <v>1</v>
      </c>
      <c r="AA27" t="str">
        <f>IF(Z27=1,IF(Q27="Won","Yes","No"),"No")</f>
        <v>No</v>
      </c>
      <c r="AB27" t="str">
        <f>IF(Z27=0,IF(Q27="Won","Yes","No"),"No")</f>
        <v>No</v>
      </c>
      <c r="AC27">
        <f>IF(M27+J27=0,0,M27/J27)</f>
        <v>0.2857142857142857</v>
      </c>
      <c r="AD27">
        <f>K27+J27</f>
        <v>7</v>
      </c>
    </row>
    <row r="28" spans="1:30" x14ac:dyDescent="0.2">
      <c r="A28">
        <v>62</v>
      </c>
      <c r="B28" s="9" t="s">
        <v>43</v>
      </c>
      <c r="C28" t="s">
        <v>27</v>
      </c>
      <c r="D28">
        <v>6</v>
      </c>
      <c r="E28">
        <v>12</v>
      </c>
      <c r="F28" s="18">
        <v>10</v>
      </c>
      <c r="G28" s="18">
        <v>1</v>
      </c>
      <c r="H28" s="18">
        <v>0</v>
      </c>
      <c r="I28" s="18">
        <v>2</v>
      </c>
      <c r="J28" s="18">
        <v>6</v>
      </c>
      <c r="K28" s="18">
        <v>7</v>
      </c>
      <c r="L28" s="2">
        <v>45948</v>
      </c>
      <c r="M28" s="18">
        <v>3</v>
      </c>
      <c r="N28" t="s">
        <v>56</v>
      </c>
      <c r="O28" t="s">
        <v>68</v>
      </c>
      <c r="P28" t="s">
        <v>30</v>
      </c>
      <c r="Q28" t="s">
        <v>20</v>
      </c>
      <c r="R28" t="s">
        <v>133</v>
      </c>
      <c r="S28" t="s">
        <v>125</v>
      </c>
      <c r="T28" t="str" cm="1">
        <f t="array" ref="T28">INDEX(_xlfn.TEXTSPLIT(U28,"il"),2)</f>
        <v>/images/msites/leagues/logos150/14f6f845ed072f3a9a97711c490bd3d8.png</v>
      </c>
      <c r="U28" s="19" t="s">
        <v>145</v>
      </c>
      <c r="V28">
        <f>IF(Q28="Won",3,IF(Q28="Lose",0,1))</f>
        <v>3</v>
      </c>
      <c r="W28">
        <f>MONTH(L28)</f>
        <v>10</v>
      </c>
      <c r="X28" t="str">
        <f>TEXT(L28,"dddd")</f>
        <v>יום שבת</v>
      </c>
      <c r="Y28" t="str">
        <f>TEXT(L28,"mmmm")</f>
        <v>אוקטובר</v>
      </c>
      <c r="Z28">
        <f>IF(B28=N28,1,0)</f>
        <v>0</v>
      </c>
      <c r="AA28" t="str">
        <f>IF(Z28=1,IF(Q28="Won","Yes","No"),"No")</f>
        <v>No</v>
      </c>
      <c r="AB28" t="str">
        <f>IF(Z28=0,IF(Q28="Won","Yes","No"),"No")</f>
        <v>Yes</v>
      </c>
      <c r="AC28">
        <f>IF(M28+J28=0,0,M28/J28)</f>
        <v>0.5</v>
      </c>
      <c r="AD28">
        <f>K28+J28</f>
        <v>13</v>
      </c>
    </row>
    <row r="29" spans="1:30" x14ac:dyDescent="0.2">
      <c r="A29">
        <v>63</v>
      </c>
      <c r="B29" s="9" t="s">
        <v>43</v>
      </c>
      <c r="C29" t="s">
        <v>31</v>
      </c>
      <c r="D29">
        <v>6</v>
      </c>
      <c r="E29">
        <v>19</v>
      </c>
      <c r="F29" s="18">
        <v>15</v>
      </c>
      <c r="G29" s="18">
        <v>2</v>
      </c>
      <c r="H29" s="18">
        <v>2</v>
      </c>
      <c r="I29" s="18">
        <v>3</v>
      </c>
      <c r="J29" s="18">
        <v>7</v>
      </c>
      <c r="K29" s="18">
        <v>7</v>
      </c>
      <c r="L29" s="2">
        <v>45935</v>
      </c>
      <c r="M29" s="18">
        <v>1</v>
      </c>
      <c r="N29" t="s">
        <v>69</v>
      </c>
      <c r="O29" t="s">
        <v>70</v>
      </c>
      <c r="P29" t="s">
        <v>71</v>
      </c>
      <c r="Q29" t="s">
        <v>23</v>
      </c>
      <c r="R29" t="s">
        <v>133</v>
      </c>
      <c r="S29" t="s">
        <v>125</v>
      </c>
      <c r="T29" t="str" cm="1">
        <f t="array" ref="T29">INDEX(_xlfn.TEXTSPLIT(U29,"il"),2)</f>
        <v>/images/msites/leagues/logos150/14f6f845ed072f3a9a97711c490bd3d8.png</v>
      </c>
      <c r="U29" s="19" t="s">
        <v>145</v>
      </c>
      <c r="V29">
        <f>IF(Q29="Won",3,IF(Q29="Lose",0,1))</f>
        <v>0</v>
      </c>
      <c r="W29">
        <f>MONTH(L29)</f>
        <v>10</v>
      </c>
      <c r="X29" t="str">
        <f>TEXT(L29,"dddd")</f>
        <v>יום ראשון</v>
      </c>
      <c r="Y29" t="str">
        <f>TEXT(L29,"mmmm")</f>
        <v>אוקטובר</v>
      </c>
      <c r="Z29">
        <f>IF(B29=N29,1,0)</f>
        <v>0</v>
      </c>
      <c r="AA29" t="str">
        <f>IF(Z29=1,IF(Q29="Won","Yes","No"),"No")</f>
        <v>No</v>
      </c>
      <c r="AB29" t="str">
        <f>IF(Z29=0,IF(Q29="Won","Yes","No"),"No")</f>
        <v>No</v>
      </c>
      <c r="AC29">
        <f>IF(M29+J29=0,0,M29/J29)</f>
        <v>0.14285714285714285</v>
      </c>
      <c r="AD29">
        <f>K29+J29</f>
        <v>14</v>
      </c>
    </row>
    <row r="30" spans="1:30" x14ac:dyDescent="0.2">
      <c r="A30">
        <v>64</v>
      </c>
      <c r="B30" s="9" t="s">
        <v>43</v>
      </c>
      <c r="C30" t="s">
        <v>36</v>
      </c>
      <c r="D30">
        <v>4</v>
      </c>
      <c r="E30">
        <v>12</v>
      </c>
      <c r="F30" s="18">
        <v>6</v>
      </c>
      <c r="G30" s="18">
        <v>0</v>
      </c>
      <c r="H30" s="18">
        <v>0</v>
      </c>
      <c r="I30" s="18">
        <v>0</v>
      </c>
      <c r="J30" s="18">
        <v>3</v>
      </c>
      <c r="K30" s="18">
        <v>10</v>
      </c>
      <c r="L30" s="2">
        <v>45927</v>
      </c>
      <c r="M30" s="18">
        <v>2</v>
      </c>
      <c r="N30" t="s">
        <v>72</v>
      </c>
      <c r="O30" t="s">
        <v>73</v>
      </c>
      <c r="P30" t="s">
        <v>74</v>
      </c>
      <c r="Q30" t="s">
        <v>20</v>
      </c>
      <c r="R30" t="s">
        <v>133</v>
      </c>
      <c r="S30" t="s">
        <v>125</v>
      </c>
      <c r="T30" t="str" cm="1">
        <f t="array" ref="T30">INDEX(_xlfn.TEXTSPLIT(U30,"il"),2)</f>
        <v>/images/msites/leagues/logos150/14f6f845ed072f3a9a97711c490bd3d8.png</v>
      </c>
      <c r="U30" s="19" t="s">
        <v>145</v>
      </c>
      <c r="V30">
        <f>IF(Q30="Won",3,IF(Q30="Lose",0,1))</f>
        <v>3</v>
      </c>
      <c r="W30">
        <f>MONTH(L30)</f>
        <v>9</v>
      </c>
      <c r="X30" t="str">
        <f>TEXT(L30,"dddd")</f>
        <v>יום שבת</v>
      </c>
      <c r="Y30" t="str">
        <f>TEXT(L30,"mmmm")</f>
        <v>ספטמבר</v>
      </c>
      <c r="Z30">
        <f>IF(B30=N30,1,0)</f>
        <v>0</v>
      </c>
      <c r="AA30" t="str">
        <f>IF(Z30=1,IF(Q30="Won","Yes","No"),"No")</f>
        <v>No</v>
      </c>
      <c r="AB30" t="str">
        <f>IF(Z30=0,IF(Q30="Won","Yes","No"),"No")</f>
        <v>Yes</v>
      </c>
      <c r="AC30">
        <f>IF(M30+J30=0,0,M30/J30)</f>
        <v>0.66666666666666663</v>
      </c>
      <c r="AD30">
        <f>K30+J30</f>
        <v>13</v>
      </c>
    </row>
    <row r="31" spans="1:30" x14ac:dyDescent="0.2">
      <c r="A31">
        <v>65</v>
      </c>
      <c r="B31" s="9" t="s">
        <v>43</v>
      </c>
      <c r="C31" t="s">
        <v>47</v>
      </c>
      <c r="D31">
        <v>10</v>
      </c>
      <c r="E31">
        <v>14</v>
      </c>
      <c r="F31" s="18">
        <v>10</v>
      </c>
      <c r="G31" s="18">
        <v>3</v>
      </c>
      <c r="H31" s="18">
        <v>0</v>
      </c>
      <c r="I31" s="18">
        <v>0</v>
      </c>
      <c r="J31" s="18">
        <v>12</v>
      </c>
      <c r="K31" s="18">
        <v>5</v>
      </c>
      <c r="L31" s="2">
        <v>45920</v>
      </c>
      <c r="M31" s="18">
        <v>5</v>
      </c>
      <c r="N31" t="s">
        <v>77</v>
      </c>
      <c r="O31" t="s">
        <v>75</v>
      </c>
      <c r="P31" t="s">
        <v>76</v>
      </c>
      <c r="Q31" t="s">
        <v>20</v>
      </c>
      <c r="R31" t="s">
        <v>133</v>
      </c>
      <c r="S31" t="s">
        <v>125</v>
      </c>
      <c r="T31" t="str" cm="1">
        <f t="array" ref="T31">INDEX(_xlfn.TEXTSPLIT(U31,"il"),2)</f>
        <v>/images/msites/leagues/logos150/14f6f845ed072f3a9a97711c490bd3d8.png</v>
      </c>
      <c r="U31" s="19" t="s">
        <v>145</v>
      </c>
      <c r="V31">
        <f>IF(Q31="Won",3,IF(Q31="Lose",0,1))</f>
        <v>3</v>
      </c>
      <c r="W31">
        <f>MONTH(L31)</f>
        <v>9</v>
      </c>
      <c r="X31" t="str">
        <f>TEXT(L31,"dddd")</f>
        <v>יום שבת</v>
      </c>
      <c r="Y31" t="str">
        <f>TEXT(L31,"mmmm")</f>
        <v>ספטמבר</v>
      </c>
      <c r="Z31">
        <f>IF(B31=N31,1,0)</f>
        <v>0</v>
      </c>
      <c r="AA31" t="str">
        <f>IF(Z31=1,IF(Q31="Won","Yes","No"),"No")</f>
        <v>No</v>
      </c>
      <c r="AB31" t="str">
        <f>IF(Z31=0,IF(Q31="Won","Yes","No"),"No")</f>
        <v>Yes</v>
      </c>
      <c r="AC31">
        <f>IF(M31+J31=0,0,M31/J31)</f>
        <v>0.41666666666666669</v>
      </c>
      <c r="AD31">
        <f>K31+J31</f>
        <v>17</v>
      </c>
    </row>
    <row r="32" spans="1:30" x14ac:dyDescent="0.2">
      <c r="A32">
        <v>71</v>
      </c>
      <c r="B32" s="10" t="s">
        <v>53</v>
      </c>
      <c r="C32" t="s">
        <v>31</v>
      </c>
      <c r="D32">
        <v>5</v>
      </c>
      <c r="E32">
        <v>18</v>
      </c>
      <c r="F32" s="18">
        <v>17</v>
      </c>
      <c r="G32" s="18">
        <v>5</v>
      </c>
      <c r="H32" s="18">
        <v>0</v>
      </c>
      <c r="I32" s="18">
        <v>1</v>
      </c>
      <c r="J32" s="18">
        <v>3</v>
      </c>
      <c r="K32" s="18">
        <v>10</v>
      </c>
      <c r="L32" s="2">
        <v>45934</v>
      </c>
      <c r="M32" s="18">
        <v>0</v>
      </c>
      <c r="N32" t="s">
        <v>30</v>
      </c>
      <c r="O32" t="s">
        <v>30</v>
      </c>
      <c r="P32" t="s">
        <v>30</v>
      </c>
      <c r="Q32" t="s">
        <v>28</v>
      </c>
      <c r="R32" t="s">
        <v>133</v>
      </c>
      <c r="S32" t="s">
        <v>126</v>
      </c>
      <c r="T32" t="str" cm="1">
        <f t="array" ref="T32">INDEX(_xlfn.TEXTSPLIT(U32,"il"),2)</f>
        <v>/images/msites/leagues/logos150/6cb525f15aa027ef97e98907e0894f4e.png</v>
      </c>
      <c r="U32" s="19" t="s">
        <v>147</v>
      </c>
      <c r="V32">
        <f>IF(Q32="Won",3,IF(Q32="Lose",0,1))</f>
        <v>1</v>
      </c>
      <c r="W32">
        <f>MONTH(L32)</f>
        <v>10</v>
      </c>
      <c r="X32" t="str">
        <f>TEXT(L32,"dddd")</f>
        <v>יום שבת</v>
      </c>
      <c r="Y32" t="str">
        <f>TEXT(L32,"mmmm")</f>
        <v>אוקטובר</v>
      </c>
      <c r="Z32">
        <f>IF(B32=N32,1,0)</f>
        <v>0</v>
      </c>
      <c r="AA32" t="str">
        <f>IF(Z32=1,IF(Q32="Won","Yes","No"),"No")</f>
        <v>No</v>
      </c>
      <c r="AB32" t="str">
        <f>IF(Z32=0,IF(Q32="Won","Yes","No"),"No")</f>
        <v>No</v>
      </c>
      <c r="AC32">
        <f>IF(M32+J32=0,0,M32/J32)</f>
        <v>0</v>
      </c>
      <c r="AD32">
        <f>K32+J32</f>
        <v>13</v>
      </c>
    </row>
    <row r="33" spans="1:30" x14ac:dyDescent="0.2">
      <c r="A33">
        <v>72</v>
      </c>
      <c r="B33" s="10" t="s">
        <v>53</v>
      </c>
      <c r="C33" t="s">
        <v>36</v>
      </c>
      <c r="D33">
        <v>6</v>
      </c>
      <c r="E33">
        <v>18</v>
      </c>
      <c r="F33" s="18">
        <v>15</v>
      </c>
      <c r="G33" s="18">
        <v>2</v>
      </c>
      <c r="H33" s="18">
        <v>0</v>
      </c>
      <c r="I33" s="18">
        <v>7</v>
      </c>
      <c r="J33" s="18">
        <v>2</v>
      </c>
      <c r="K33" s="18">
        <v>7</v>
      </c>
      <c r="L33" s="2">
        <v>45927</v>
      </c>
      <c r="M33" s="18">
        <v>2</v>
      </c>
      <c r="N33" t="s">
        <v>29</v>
      </c>
      <c r="O33" t="s">
        <v>61</v>
      </c>
      <c r="P33" t="s">
        <v>62</v>
      </c>
      <c r="Q33" t="s">
        <v>23</v>
      </c>
      <c r="R33" t="s">
        <v>133</v>
      </c>
      <c r="S33" t="s">
        <v>126</v>
      </c>
      <c r="T33" t="str" cm="1">
        <f t="array" ref="T33">INDEX(_xlfn.TEXTSPLIT(U33,"il"),2)</f>
        <v>/images/msites/leagues/logos150/6cb525f15aa027ef97e98907e0894f4e.png</v>
      </c>
      <c r="U33" s="19" t="s">
        <v>147</v>
      </c>
      <c r="V33">
        <f>IF(Q33="Won",3,IF(Q33="Lose",0,1))</f>
        <v>0</v>
      </c>
      <c r="W33">
        <f>MONTH(L33)</f>
        <v>9</v>
      </c>
      <c r="X33" t="str">
        <f>TEXT(L33,"dddd")</f>
        <v>יום שבת</v>
      </c>
      <c r="Y33" t="str">
        <f>TEXT(L33,"mmmm")</f>
        <v>ספטמבר</v>
      </c>
      <c r="Z33">
        <f>IF(B33=N33,1,0)</f>
        <v>0</v>
      </c>
      <c r="AA33" t="str">
        <f>IF(Z33=1,IF(Q33="Won","Yes","No"),"No")</f>
        <v>No</v>
      </c>
      <c r="AB33" t="str">
        <f>IF(Z33=0,IF(Q33="Won","Yes","No"),"No")</f>
        <v>No</v>
      </c>
      <c r="AC33">
        <f>IF(M33+J33=0,0,M33/J33)</f>
        <v>1</v>
      </c>
      <c r="AD33">
        <f>K33+J33</f>
        <v>9</v>
      </c>
    </row>
    <row r="34" spans="1:30" x14ac:dyDescent="0.2">
      <c r="A34">
        <v>73</v>
      </c>
      <c r="B34" s="10" t="s">
        <v>53</v>
      </c>
      <c r="C34" t="s">
        <v>24</v>
      </c>
      <c r="D34">
        <v>5</v>
      </c>
      <c r="E34">
        <v>14</v>
      </c>
      <c r="F34" s="18">
        <v>18</v>
      </c>
      <c r="G34" s="18">
        <v>2</v>
      </c>
      <c r="H34" s="18">
        <v>0</v>
      </c>
      <c r="I34" s="18">
        <v>6</v>
      </c>
      <c r="J34" s="18">
        <v>5</v>
      </c>
      <c r="K34" s="18">
        <v>5</v>
      </c>
      <c r="L34" s="2">
        <v>45957</v>
      </c>
      <c r="M34" s="18">
        <v>1</v>
      </c>
      <c r="N34" t="s">
        <v>88</v>
      </c>
      <c r="O34" t="s">
        <v>89</v>
      </c>
      <c r="P34" t="s">
        <v>90</v>
      </c>
      <c r="Q34" t="s">
        <v>23</v>
      </c>
      <c r="R34" t="s">
        <v>133</v>
      </c>
      <c r="S34" t="s">
        <v>126</v>
      </c>
      <c r="T34" t="str" cm="1">
        <f t="array" ref="T34">INDEX(_xlfn.TEXTSPLIT(U34,"il"),2)</f>
        <v>/images/msites/leagues/logos150/6cb525f15aa027ef97e98907e0894f4e.png</v>
      </c>
      <c r="U34" s="19" t="s">
        <v>147</v>
      </c>
      <c r="V34">
        <f>IF(Q34="Won",3,IF(Q34="Lose",0,1))</f>
        <v>0</v>
      </c>
      <c r="W34">
        <f>MONTH(L34)</f>
        <v>10</v>
      </c>
      <c r="X34" t="str">
        <f>TEXT(L34,"dddd")</f>
        <v>יום שני</v>
      </c>
      <c r="Y34" t="str">
        <f>TEXT(L34,"mmmm")</f>
        <v>אוקטובר</v>
      </c>
      <c r="Z34">
        <f>IF(B34=N34,1,0)</f>
        <v>0</v>
      </c>
      <c r="AA34" t="str">
        <f>IF(Z34=1,IF(Q34="Won","Yes","No"),"No")</f>
        <v>No</v>
      </c>
      <c r="AB34" t="str">
        <f>IF(Z34=0,IF(Q34="Won","Yes","No"),"No")</f>
        <v>No</v>
      </c>
      <c r="AC34">
        <f>IF(M34+J34=0,0,M34/J34)</f>
        <v>0.2</v>
      </c>
      <c r="AD34">
        <f>K34+J34</f>
        <v>10</v>
      </c>
    </row>
    <row r="35" spans="1:30" x14ac:dyDescent="0.2">
      <c r="A35">
        <v>74</v>
      </c>
      <c r="B35" s="10" t="s">
        <v>53</v>
      </c>
      <c r="C35" t="s">
        <v>27</v>
      </c>
      <c r="D35">
        <v>2</v>
      </c>
      <c r="E35">
        <v>17</v>
      </c>
      <c r="F35" s="18">
        <v>22</v>
      </c>
      <c r="G35" s="18">
        <v>4</v>
      </c>
      <c r="H35" s="18">
        <v>1</v>
      </c>
      <c r="I35" s="18">
        <v>3</v>
      </c>
      <c r="J35" s="18">
        <v>3</v>
      </c>
      <c r="K35" s="18">
        <v>7</v>
      </c>
      <c r="L35" s="2">
        <v>45948</v>
      </c>
      <c r="M35" s="18">
        <v>1</v>
      </c>
      <c r="N35" t="s">
        <v>91</v>
      </c>
      <c r="O35" t="s">
        <v>61</v>
      </c>
      <c r="P35" t="s">
        <v>92</v>
      </c>
      <c r="Q35" t="s">
        <v>20</v>
      </c>
      <c r="R35" t="s">
        <v>133</v>
      </c>
      <c r="S35" t="s">
        <v>126</v>
      </c>
      <c r="T35" t="str" cm="1">
        <f t="array" ref="T35">INDEX(_xlfn.TEXTSPLIT(U35,"il"),2)</f>
        <v>/images/msites/leagues/logos150/6cb525f15aa027ef97e98907e0894f4e.png</v>
      </c>
      <c r="U35" s="19" t="s">
        <v>147</v>
      </c>
      <c r="V35">
        <f>IF(Q35="Won",3,IF(Q35="Lose",0,1))</f>
        <v>3</v>
      </c>
      <c r="W35">
        <f>MONTH(L35)</f>
        <v>10</v>
      </c>
      <c r="X35" t="str">
        <f>TEXT(L35,"dddd")</f>
        <v>יום שבת</v>
      </c>
      <c r="Y35" t="str">
        <f>TEXT(L35,"mmmm")</f>
        <v>אוקטובר</v>
      </c>
      <c r="Z35">
        <f>IF(B35=N35,1,0)</f>
        <v>0</v>
      </c>
      <c r="AA35" t="str">
        <f>IF(Z35=1,IF(Q35="Won","Yes","No"),"No")</f>
        <v>No</v>
      </c>
      <c r="AB35" t="str">
        <f>IF(Z35=0,IF(Q35="Won","Yes","No"),"No")</f>
        <v>Yes</v>
      </c>
      <c r="AC35">
        <f>IF(M35+J35=0,0,M35/J35)</f>
        <v>0.33333333333333331</v>
      </c>
      <c r="AD35">
        <f>K35+J35</f>
        <v>10</v>
      </c>
    </row>
    <row r="36" spans="1:30" x14ac:dyDescent="0.2">
      <c r="A36">
        <v>75</v>
      </c>
      <c r="B36" s="10" t="s">
        <v>53</v>
      </c>
      <c r="C36" t="s">
        <v>47</v>
      </c>
      <c r="D36">
        <v>6</v>
      </c>
      <c r="E36">
        <v>14</v>
      </c>
      <c r="F36" s="18">
        <v>14</v>
      </c>
      <c r="G36" s="18">
        <v>1</v>
      </c>
      <c r="H36" s="18">
        <v>0</v>
      </c>
      <c r="I36" s="18">
        <v>3</v>
      </c>
      <c r="J36" s="18">
        <v>8</v>
      </c>
      <c r="K36" s="18">
        <v>4</v>
      </c>
      <c r="L36" s="2">
        <v>45920</v>
      </c>
      <c r="M36" s="18">
        <v>1</v>
      </c>
      <c r="N36" t="s">
        <v>16</v>
      </c>
      <c r="O36" t="s">
        <v>93</v>
      </c>
      <c r="P36" t="s">
        <v>94</v>
      </c>
      <c r="Q36" t="s">
        <v>23</v>
      </c>
      <c r="R36" t="s">
        <v>133</v>
      </c>
      <c r="S36" t="s">
        <v>126</v>
      </c>
      <c r="T36" t="str" cm="1">
        <f t="array" ref="T36">INDEX(_xlfn.TEXTSPLIT(U36,"il"),2)</f>
        <v>/images/msites/leagues/logos150/6cb525f15aa027ef97e98907e0894f4e.png</v>
      </c>
      <c r="U36" s="19" t="s">
        <v>147</v>
      </c>
      <c r="V36">
        <f>IF(Q36="Won",3,IF(Q36="Lose",0,1))</f>
        <v>0</v>
      </c>
      <c r="W36">
        <f>MONTH(L36)</f>
        <v>9</v>
      </c>
      <c r="X36" t="str">
        <f>TEXT(L36,"dddd")</f>
        <v>יום שבת</v>
      </c>
      <c r="Y36" t="str">
        <f>TEXT(L36,"mmmm")</f>
        <v>ספטמבר</v>
      </c>
      <c r="Z36">
        <f>IF(B36=N36,1,0)</f>
        <v>0</v>
      </c>
      <c r="AA36" t="str">
        <f>IF(Z36=1,IF(Q36="Won","Yes","No"),"No")</f>
        <v>No</v>
      </c>
      <c r="AB36" t="str">
        <f>IF(Z36=0,IF(Q36="Won","Yes","No"),"No")</f>
        <v>No</v>
      </c>
      <c r="AC36">
        <f>IF(M36+J36=0,0,M36/J36)</f>
        <v>0.125</v>
      </c>
      <c r="AD36">
        <f>K36+J36</f>
        <v>12</v>
      </c>
    </row>
    <row r="37" spans="1:30" x14ac:dyDescent="0.2">
      <c r="A37">
        <v>81</v>
      </c>
      <c r="B37" s="11" t="s">
        <v>56</v>
      </c>
      <c r="C37" t="s">
        <v>47</v>
      </c>
      <c r="D37">
        <v>7</v>
      </c>
      <c r="E37">
        <v>14</v>
      </c>
      <c r="F37" s="18">
        <v>14</v>
      </c>
      <c r="G37" s="18">
        <v>3</v>
      </c>
      <c r="H37" s="18">
        <v>0</v>
      </c>
      <c r="I37" s="18">
        <v>3</v>
      </c>
      <c r="J37" s="18">
        <v>5</v>
      </c>
      <c r="K37" s="18">
        <v>2</v>
      </c>
      <c r="L37" s="2">
        <v>45921</v>
      </c>
      <c r="M37" s="18">
        <v>1</v>
      </c>
      <c r="N37" t="s">
        <v>56</v>
      </c>
      <c r="O37" t="s">
        <v>54</v>
      </c>
      <c r="P37" t="s">
        <v>55</v>
      </c>
      <c r="Q37" t="s">
        <v>28</v>
      </c>
      <c r="R37" t="s">
        <v>133</v>
      </c>
      <c r="S37" t="s">
        <v>127</v>
      </c>
      <c r="T37" t="str" cm="1">
        <f t="array" ref="T37">INDEX(_xlfn.TEXTSPLIT(U37,"il"),2)</f>
        <v>/images/msites/leagues/logos150/8d9a866748d98bda524cf074fffd37e1.png</v>
      </c>
      <c r="U37" s="19" t="s">
        <v>143</v>
      </c>
      <c r="V37">
        <f>IF(Q37="Won",3,IF(Q37="Lose",0,1))</f>
        <v>1</v>
      </c>
      <c r="W37">
        <f>MONTH(L37)</f>
        <v>9</v>
      </c>
      <c r="X37" t="str">
        <f>TEXT(L37,"dddd")</f>
        <v>יום ראשון</v>
      </c>
      <c r="Y37" t="str">
        <f>TEXT(L37,"mmmm")</f>
        <v>ספטמבר</v>
      </c>
      <c r="Z37">
        <f>IF(B37=N37,1,0)</f>
        <v>1</v>
      </c>
      <c r="AA37" t="str">
        <f>IF(Z37=1,IF(Q37="Won","Yes","No"),"No")</f>
        <v>No</v>
      </c>
      <c r="AB37" t="str">
        <f>IF(Z37=0,IF(Q37="Won","Yes","No"),"No")</f>
        <v>No</v>
      </c>
      <c r="AC37">
        <f>IF(M37+J37=0,0,M37/J37)</f>
        <v>0.2</v>
      </c>
      <c r="AD37">
        <f>K37+J37</f>
        <v>7</v>
      </c>
    </row>
    <row r="38" spans="1:30" x14ac:dyDescent="0.2">
      <c r="A38">
        <v>82</v>
      </c>
      <c r="B38" s="11" t="s">
        <v>56</v>
      </c>
      <c r="C38" t="s">
        <v>63</v>
      </c>
      <c r="D38">
        <v>5</v>
      </c>
      <c r="E38">
        <v>13</v>
      </c>
      <c r="F38" s="18">
        <v>13</v>
      </c>
      <c r="G38" s="18">
        <v>1</v>
      </c>
      <c r="H38" s="18">
        <v>0</v>
      </c>
      <c r="I38" s="18">
        <v>6</v>
      </c>
      <c r="J38" s="18">
        <v>10</v>
      </c>
      <c r="K38" s="18">
        <v>8</v>
      </c>
      <c r="L38" s="2">
        <v>45915</v>
      </c>
      <c r="M38" s="18">
        <v>5</v>
      </c>
      <c r="N38" t="s">
        <v>56</v>
      </c>
      <c r="O38" t="s">
        <v>54</v>
      </c>
      <c r="P38" t="s">
        <v>64</v>
      </c>
      <c r="Q38" t="s">
        <v>20</v>
      </c>
      <c r="R38" t="s">
        <v>133</v>
      </c>
      <c r="S38" t="s">
        <v>127</v>
      </c>
      <c r="T38" t="str" cm="1">
        <f t="array" ref="T38">INDEX(_xlfn.TEXTSPLIT(U38,"il"),2)</f>
        <v>/images/msites/leagues/logos150/8d9a866748d98bda524cf074fffd37e1.png</v>
      </c>
      <c r="U38" s="19" t="s">
        <v>143</v>
      </c>
      <c r="V38">
        <f>IF(Q38="Won",3,IF(Q38="Lose",0,1))</f>
        <v>3</v>
      </c>
      <c r="W38">
        <f>MONTH(L38)</f>
        <v>9</v>
      </c>
      <c r="X38" t="str">
        <f>TEXT(L38,"dddd")</f>
        <v>יום שני</v>
      </c>
      <c r="Y38" t="str">
        <f>TEXT(L38,"mmmm")</f>
        <v>ספטמבר</v>
      </c>
      <c r="Z38">
        <f>IF(B38=N38,1,0)</f>
        <v>1</v>
      </c>
      <c r="AA38" t="str">
        <f>IF(Z38=1,IF(Q38="Won","Yes","No"),"No")</f>
        <v>Yes</v>
      </c>
      <c r="AB38" t="str">
        <f>IF(Z38=0,IF(Q38="Won","Yes","No"),"No")</f>
        <v>No</v>
      </c>
      <c r="AC38">
        <f>IF(M38+J38=0,0,M38/J38)</f>
        <v>0.5</v>
      </c>
      <c r="AD38">
        <f>K38+J38</f>
        <v>18</v>
      </c>
    </row>
    <row r="39" spans="1:30" x14ac:dyDescent="0.2">
      <c r="A39">
        <v>83</v>
      </c>
      <c r="B39" s="11" t="s">
        <v>56</v>
      </c>
      <c r="C39" t="s">
        <v>27</v>
      </c>
      <c r="D39">
        <v>5</v>
      </c>
      <c r="E39">
        <v>11</v>
      </c>
      <c r="F39" s="18">
        <v>10</v>
      </c>
      <c r="G39" s="18">
        <v>3</v>
      </c>
      <c r="H39" s="18">
        <v>0</v>
      </c>
      <c r="I39" s="18">
        <v>1</v>
      </c>
      <c r="J39" s="18">
        <v>4</v>
      </c>
      <c r="K39" s="18">
        <v>6</v>
      </c>
      <c r="L39" s="2">
        <v>45948</v>
      </c>
      <c r="M39" s="18">
        <v>3</v>
      </c>
      <c r="N39" t="s">
        <v>56</v>
      </c>
      <c r="O39" t="s">
        <v>68</v>
      </c>
      <c r="P39" t="s">
        <v>30</v>
      </c>
      <c r="Q39" t="s">
        <v>23</v>
      </c>
      <c r="R39" t="s">
        <v>133</v>
      </c>
      <c r="S39" t="s">
        <v>127</v>
      </c>
      <c r="T39" t="str" cm="1">
        <f t="array" ref="T39">INDEX(_xlfn.TEXTSPLIT(U39,"il"),2)</f>
        <v>/images/msites/leagues/logos150/8d9a866748d98bda524cf074fffd37e1.png</v>
      </c>
      <c r="U39" s="19" t="s">
        <v>143</v>
      </c>
      <c r="V39">
        <f>IF(Q39="Won",3,IF(Q39="Lose",0,1))</f>
        <v>0</v>
      </c>
      <c r="W39">
        <f>MONTH(L39)</f>
        <v>10</v>
      </c>
      <c r="X39" t="str">
        <f>TEXT(L39,"dddd")</f>
        <v>יום שבת</v>
      </c>
      <c r="Y39" t="str">
        <f>TEXT(L39,"mmmm")</f>
        <v>אוקטובר</v>
      </c>
      <c r="Z39">
        <f>IF(B39=N39,1,0)</f>
        <v>1</v>
      </c>
      <c r="AA39" t="str">
        <f>IF(Z39=1,IF(Q39="Won","Yes","No"),"No")</f>
        <v>No</v>
      </c>
      <c r="AB39" t="str">
        <f>IF(Z39=0,IF(Q39="Won","Yes","No"),"No")</f>
        <v>No</v>
      </c>
      <c r="AC39">
        <f>IF(M39+J39=0,0,M39/J39)</f>
        <v>0.75</v>
      </c>
      <c r="AD39">
        <f>K39+J39</f>
        <v>10</v>
      </c>
    </row>
    <row r="40" spans="1:30" x14ac:dyDescent="0.2">
      <c r="A40">
        <v>84</v>
      </c>
      <c r="B40" s="11" t="s">
        <v>56</v>
      </c>
      <c r="C40" t="s">
        <v>24</v>
      </c>
      <c r="D40">
        <v>10</v>
      </c>
      <c r="E40">
        <v>15</v>
      </c>
      <c r="F40" s="18">
        <v>13</v>
      </c>
      <c r="G40" s="18">
        <v>2</v>
      </c>
      <c r="H40" s="18">
        <v>0</v>
      </c>
      <c r="I40" s="18">
        <v>1</v>
      </c>
      <c r="J40" s="18">
        <v>4</v>
      </c>
      <c r="K40" s="18">
        <v>9</v>
      </c>
      <c r="L40" s="2">
        <v>45955</v>
      </c>
      <c r="M40" s="18">
        <v>1</v>
      </c>
      <c r="N40" t="s">
        <v>56</v>
      </c>
      <c r="O40" t="s">
        <v>54</v>
      </c>
      <c r="P40" t="s">
        <v>96</v>
      </c>
      <c r="Q40" t="s">
        <v>28</v>
      </c>
      <c r="R40" t="s">
        <v>133</v>
      </c>
      <c r="S40" t="s">
        <v>127</v>
      </c>
      <c r="T40" t="str" cm="1">
        <f t="array" ref="T40">INDEX(_xlfn.TEXTSPLIT(U40,"il"),2)</f>
        <v>/images/msites/leagues/logos150/8d9a866748d98bda524cf074fffd37e1.png</v>
      </c>
      <c r="U40" s="19" t="s">
        <v>143</v>
      </c>
      <c r="V40">
        <f>IF(Q40="Won",3,IF(Q40="Lose",0,1))</f>
        <v>1</v>
      </c>
      <c r="W40">
        <f>MONTH(L40)</f>
        <v>10</v>
      </c>
      <c r="X40" t="str">
        <f>TEXT(L40,"dddd")</f>
        <v>יום שבת</v>
      </c>
      <c r="Y40" t="str">
        <f>TEXT(L40,"mmmm")</f>
        <v>אוקטובר</v>
      </c>
      <c r="Z40">
        <f>IF(B40=N40,1,0)</f>
        <v>1</v>
      </c>
      <c r="AA40" t="str">
        <f>IF(Z40=1,IF(Q40="Won","Yes","No"),"No")</f>
        <v>No</v>
      </c>
      <c r="AB40" t="str">
        <f>IF(Z40=0,IF(Q40="Won","Yes","No"),"No")</f>
        <v>No</v>
      </c>
      <c r="AC40">
        <f>IF(M40+J40=0,0,M40/J40)</f>
        <v>0.25</v>
      </c>
      <c r="AD40">
        <f>K40+J40</f>
        <v>13</v>
      </c>
    </row>
    <row r="41" spans="1:30" x14ac:dyDescent="0.2">
      <c r="A41">
        <v>85</v>
      </c>
      <c r="B41" s="11" t="s">
        <v>56</v>
      </c>
      <c r="C41" t="s">
        <v>31</v>
      </c>
      <c r="D41">
        <v>2</v>
      </c>
      <c r="E41">
        <v>23</v>
      </c>
      <c r="F41" s="18">
        <v>15</v>
      </c>
      <c r="G41" s="18">
        <v>4</v>
      </c>
      <c r="H41" s="18">
        <v>0</v>
      </c>
      <c r="I41" s="18">
        <v>3</v>
      </c>
      <c r="J41" s="18">
        <v>5</v>
      </c>
      <c r="K41" s="18">
        <v>4</v>
      </c>
      <c r="L41" s="2">
        <v>45935</v>
      </c>
      <c r="M41" s="18">
        <v>1</v>
      </c>
      <c r="N41" t="s">
        <v>88</v>
      </c>
      <c r="O41" t="s">
        <v>97</v>
      </c>
      <c r="P41" t="s">
        <v>30</v>
      </c>
      <c r="Q41" t="s">
        <v>28</v>
      </c>
      <c r="R41" t="s">
        <v>133</v>
      </c>
      <c r="S41" t="s">
        <v>127</v>
      </c>
      <c r="T41" t="str" cm="1">
        <f t="array" ref="T41">INDEX(_xlfn.TEXTSPLIT(U41,"il"),2)</f>
        <v>/images/msites/leagues/logos150/8d9a866748d98bda524cf074fffd37e1.png</v>
      </c>
      <c r="U41" s="19" t="s">
        <v>143</v>
      </c>
      <c r="V41">
        <f>IF(Q41="Won",3,IF(Q41="Lose",0,1))</f>
        <v>1</v>
      </c>
      <c r="W41">
        <f>MONTH(L41)</f>
        <v>10</v>
      </c>
      <c r="X41" t="str">
        <f>TEXT(L41,"dddd")</f>
        <v>יום ראשון</v>
      </c>
      <c r="Y41" t="str">
        <f>TEXT(L41,"mmmm")</f>
        <v>אוקטובר</v>
      </c>
      <c r="Z41">
        <f>IF(B41=N41,1,0)</f>
        <v>0</v>
      </c>
      <c r="AA41" t="str">
        <f>IF(Z41=1,IF(Q41="Won","Yes","No"),"No")</f>
        <v>No</v>
      </c>
      <c r="AB41" t="str">
        <f>IF(Z41=0,IF(Q41="Won","Yes","No"),"No")</f>
        <v>No</v>
      </c>
      <c r="AC41">
        <f>IF(M41+J41=0,0,M41/J41)</f>
        <v>0.2</v>
      </c>
      <c r="AD41">
        <f>K41+J41</f>
        <v>9</v>
      </c>
    </row>
    <row r="42" spans="1:30" x14ac:dyDescent="0.2">
      <c r="A42">
        <v>91</v>
      </c>
      <c r="B42" s="12" t="s">
        <v>65</v>
      </c>
      <c r="C42" t="s">
        <v>47</v>
      </c>
      <c r="D42">
        <v>7</v>
      </c>
      <c r="E42">
        <v>9</v>
      </c>
      <c r="F42" s="18">
        <v>14</v>
      </c>
      <c r="G42" s="18">
        <v>0</v>
      </c>
      <c r="H42" s="18">
        <v>0</v>
      </c>
      <c r="I42" s="18">
        <v>2</v>
      </c>
      <c r="J42" s="18">
        <v>12</v>
      </c>
      <c r="K42" s="18">
        <v>5</v>
      </c>
      <c r="L42" s="2">
        <v>45920</v>
      </c>
      <c r="M42" s="18">
        <v>6</v>
      </c>
      <c r="N42" t="s">
        <v>65</v>
      </c>
      <c r="O42" t="s">
        <v>66</v>
      </c>
      <c r="P42" t="s">
        <v>67</v>
      </c>
      <c r="Q42" t="s">
        <v>20</v>
      </c>
      <c r="R42" t="s">
        <v>133</v>
      </c>
      <c r="S42" t="s">
        <v>128</v>
      </c>
      <c r="T42" t="str" cm="1">
        <f t="array" ref="T42">INDEX(_xlfn.TEXTSPLIT(U42,"il"),2)</f>
        <v>/images/msites/leagues/logos150/699f2c56339915fabb1b3f71fac887ed.png</v>
      </c>
      <c r="U42" s="19" t="s">
        <v>139</v>
      </c>
      <c r="V42">
        <f>IF(Q42="Won",3,IF(Q42="Lose",0,1))</f>
        <v>3</v>
      </c>
      <c r="W42">
        <f>MONTH(L42)</f>
        <v>9</v>
      </c>
      <c r="X42" t="str">
        <f>TEXT(L42,"dddd")</f>
        <v>יום שבת</v>
      </c>
      <c r="Y42" t="str">
        <f>TEXT(L42,"mmmm")</f>
        <v>ספטמבר</v>
      </c>
      <c r="Z42">
        <f>IF(B42=N42,1,0)</f>
        <v>1</v>
      </c>
      <c r="AA42" t="str">
        <f>IF(Z42=1,IF(Q42="Won","Yes","No"),"No")</f>
        <v>Yes</v>
      </c>
      <c r="AB42" t="str">
        <f>IF(Z42=0,IF(Q42="Won","Yes","No"),"No")</f>
        <v>No</v>
      </c>
      <c r="AC42">
        <f>IF(M42+J42=0,0,M42/J42)</f>
        <v>0.5</v>
      </c>
      <c r="AD42">
        <f>K42+J42</f>
        <v>17</v>
      </c>
    </row>
    <row r="43" spans="1:30" x14ac:dyDescent="0.2">
      <c r="A43">
        <v>92</v>
      </c>
      <c r="B43" s="12" t="s">
        <v>65</v>
      </c>
      <c r="C43" t="s">
        <v>24</v>
      </c>
      <c r="D43">
        <v>6</v>
      </c>
      <c r="E43">
        <v>9</v>
      </c>
      <c r="F43" s="18">
        <v>18</v>
      </c>
      <c r="G43" s="18">
        <v>3</v>
      </c>
      <c r="H43" s="18">
        <v>0</v>
      </c>
      <c r="I43" s="18">
        <v>4</v>
      </c>
      <c r="J43" s="18">
        <v>5</v>
      </c>
      <c r="K43" s="18">
        <v>5</v>
      </c>
      <c r="L43" s="2">
        <v>45955</v>
      </c>
      <c r="M43" s="18">
        <v>1</v>
      </c>
      <c r="N43" t="s">
        <v>65</v>
      </c>
      <c r="O43" t="s">
        <v>98</v>
      </c>
      <c r="P43" t="s">
        <v>67</v>
      </c>
      <c r="Q43" t="s">
        <v>28</v>
      </c>
      <c r="R43" t="s">
        <v>133</v>
      </c>
      <c r="S43" t="s">
        <v>128</v>
      </c>
      <c r="T43" t="str" cm="1">
        <f t="array" ref="T43">INDEX(_xlfn.TEXTSPLIT(U43,"il"),2)</f>
        <v>/images/msites/leagues/logos150/699f2c56339915fabb1b3f71fac887ed.png</v>
      </c>
      <c r="U43" s="19" t="s">
        <v>139</v>
      </c>
      <c r="V43">
        <f>IF(Q43="Won",3,IF(Q43="Lose",0,1))</f>
        <v>1</v>
      </c>
      <c r="W43">
        <f>MONTH(L43)</f>
        <v>10</v>
      </c>
      <c r="X43" t="str">
        <f>TEXT(L43,"dddd")</f>
        <v>יום שבת</v>
      </c>
      <c r="Y43" t="str">
        <f>TEXT(L43,"mmmm")</f>
        <v>אוקטובר</v>
      </c>
      <c r="Z43">
        <f>IF(B43=N43,1,0)</f>
        <v>1</v>
      </c>
      <c r="AA43" t="str">
        <f>IF(Z43=1,IF(Q43="Won","Yes","No"),"No")</f>
        <v>No</v>
      </c>
      <c r="AB43" t="str">
        <f>IF(Z43=0,IF(Q43="Won","Yes","No"),"No")</f>
        <v>No</v>
      </c>
      <c r="AC43">
        <f>IF(M43+J43=0,0,M43/J43)</f>
        <v>0.2</v>
      </c>
      <c r="AD43">
        <f>K43+J43</f>
        <v>10</v>
      </c>
    </row>
    <row r="44" spans="1:30" x14ac:dyDescent="0.2">
      <c r="A44">
        <v>93</v>
      </c>
      <c r="B44" s="12" t="s">
        <v>65</v>
      </c>
      <c r="C44" t="s">
        <v>27</v>
      </c>
      <c r="D44">
        <v>5</v>
      </c>
      <c r="E44">
        <v>13</v>
      </c>
      <c r="F44" s="18">
        <v>7</v>
      </c>
      <c r="G44" s="18">
        <v>2</v>
      </c>
      <c r="H44" s="18">
        <v>0</v>
      </c>
      <c r="I44" s="18">
        <v>0</v>
      </c>
      <c r="J44" s="18">
        <v>2</v>
      </c>
      <c r="K44" s="18">
        <v>5</v>
      </c>
      <c r="L44" s="2">
        <v>45948</v>
      </c>
      <c r="M44" s="18">
        <v>0</v>
      </c>
      <c r="N44" t="s">
        <v>30</v>
      </c>
      <c r="O44" t="s">
        <v>30</v>
      </c>
      <c r="P44" t="s">
        <v>30</v>
      </c>
      <c r="Q44" t="s">
        <v>28</v>
      </c>
      <c r="R44" t="s">
        <v>133</v>
      </c>
      <c r="S44" t="s">
        <v>128</v>
      </c>
      <c r="T44" t="str" cm="1">
        <f t="array" ref="T44">INDEX(_xlfn.TEXTSPLIT(U44,"il"),2)</f>
        <v>/images/msites/leagues/logos150/699f2c56339915fabb1b3f71fac887ed.png</v>
      </c>
      <c r="U44" s="19" t="s">
        <v>139</v>
      </c>
      <c r="V44">
        <f>IF(Q44="Won",3,IF(Q44="Lose",0,1))</f>
        <v>1</v>
      </c>
      <c r="W44">
        <f>MONTH(L44)</f>
        <v>10</v>
      </c>
      <c r="X44" t="str">
        <f>TEXT(L44,"dddd")</f>
        <v>יום שבת</v>
      </c>
      <c r="Y44" t="str">
        <f>TEXT(L44,"mmmm")</f>
        <v>אוקטובר</v>
      </c>
      <c r="Z44">
        <f>IF(B44=N44,1,0)</f>
        <v>0</v>
      </c>
      <c r="AA44" t="str">
        <f>IF(Z44=1,IF(Q44="Won","Yes","No"),"No")</f>
        <v>No</v>
      </c>
      <c r="AB44" t="str">
        <f>IF(Z44=0,IF(Q44="Won","Yes","No"),"No")</f>
        <v>No</v>
      </c>
      <c r="AC44">
        <f>IF(M44+J44=0,0,M44/J44)</f>
        <v>0</v>
      </c>
      <c r="AD44">
        <f>K44+J44</f>
        <v>7</v>
      </c>
    </row>
    <row r="45" spans="1:30" x14ac:dyDescent="0.2">
      <c r="A45">
        <v>94</v>
      </c>
      <c r="B45" s="12" t="s">
        <v>65</v>
      </c>
      <c r="C45" t="s">
        <v>31</v>
      </c>
      <c r="D45">
        <v>5</v>
      </c>
      <c r="E45">
        <v>9</v>
      </c>
      <c r="F45" s="18">
        <v>9</v>
      </c>
      <c r="G45" s="18">
        <v>2</v>
      </c>
      <c r="H45" s="18">
        <v>0</v>
      </c>
      <c r="I45" s="18">
        <v>1</v>
      </c>
      <c r="J45" s="18">
        <v>4</v>
      </c>
      <c r="K45" s="18">
        <v>8</v>
      </c>
      <c r="L45" s="2">
        <v>45934</v>
      </c>
      <c r="M45" s="18">
        <v>2</v>
      </c>
      <c r="N45" t="s">
        <v>65</v>
      </c>
      <c r="O45" t="s">
        <v>32</v>
      </c>
      <c r="P45" t="s">
        <v>33</v>
      </c>
      <c r="Q45" t="s">
        <v>23</v>
      </c>
      <c r="R45" t="s">
        <v>133</v>
      </c>
      <c r="S45" t="s">
        <v>128</v>
      </c>
      <c r="T45" t="str" cm="1">
        <f t="array" ref="T45">INDEX(_xlfn.TEXTSPLIT(U45,"il"),2)</f>
        <v>/images/msites/leagues/logos150/699f2c56339915fabb1b3f71fac887ed.png</v>
      </c>
      <c r="U45" s="19" t="s">
        <v>139</v>
      </c>
      <c r="V45">
        <f>IF(Q45="Won",3,IF(Q45="Lose",0,1))</f>
        <v>0</v>
      </c>
      <c r="W45">
        <f>MONTH(L45)</f>
        <v>10</v>
      </c>
      <c r="X45" t="str">
        <f>TEXT(L45,"dddd")</f>
        <v>יום שבת</v>
      </c>
      <c r="Y45" t="str">
        <f>TEXT(L45,"mmmm")</f>
        <v>אוקטובר</v>
      </c>
      <c r="Z45">
        <f>IF(B45=N45,1,0)</f>
        <v>1</v>
      </c>
      <c r="AA45" t="str">
        <f>IF(Z45=1,IF(Q45="Won","Yes","No"),"No")</f>
        <v>No</v>
      </c>
      <c r="AB45" t="str">
        <f>IF(Z45=0,IF(Q45="Won","Yes","No"),"No")</f>
        <v>No</v>
      </c>
      <c r="AC45">
        <f>IF(M45+J45=0,0,M45/J45)</f>
        <v>0.5</v>
      </c>
      <c r="AD45">
        <f>K45+J45</f>
        <v>12</v>
      </c>
    </row>
    <row r="46" spans="1:30" x14ac:dyDescent="0.2">
      <c r="A46">
        <v>95</v>
      </c>
      <c r="B46" s="12" t="s">
        <v>65</v>
      </c>
      <c r="C46" t="s">
        <v>36</v>
      </c>
      <c r="D46">
        <v>9</v>
      </c>
      <c r="E46">
        <v>7</v>
      </c>
      <c r="F46" s="18">
        <v>19</v>
      </c>
      <c r="G46" s="18">
        <v>2</v>
      </c>
      <c r="H46" s="18">
        <v>1</v>
      </c>
      <c r="I46" s="18">
        <v>0</v>
      </c>
      <c r="J46" s="18">
        <v>1</v>
      </c>
      <c r="K46" s="18">
        <v>3</v>
      </c>
      <c r="L46" s="2">
        <v>45927</v>
      </c>
      <c r="M46" s="18">
        <v>0</v>
      </c>
      <c r="N46" t="s">
        <v>77</v>
      </c>
      <c r="O46" t="s">
        <v>99</v>
      </c>
      <c r="P46" t="s">
        <v>30</v>
      </c>
      <c r="Q46" t="s">
        <v>23</v>
      </c>
      <c r="R46" t="s">
        <v>133</v>
      </c>
      <c r="S46" t="s">
        <v>128</v>
      </c>
      <c r="T46" t="str" cm="1">
        <f t="array" ref="T46">INDEX(_xlfn.TEXTSPLIT(U46,"il"),2)</f>
        <v>/images/msites/leagues/logos150/699f2c56339915fabb1b3f71fac887ed.png</v>
      </c>
      <c r="U46" s="19" t="s">
        <v>139</v>
      </c>
      <c r="V46">
        <f>IF(Q46="Won",3,IF(Q46="Lose",0,1))</f>
        <v>0</v>
      </c>
      <c r="W46">
        <f>MONTH(L46)</f>
        <v>9</v>
      </c>
      <c r="X46" t="str">
        <f>TEXT(L46,"dddd")</f>
        <v>יום שבת</v>
      </c>
      <c r="Y46" t="str">
        <f>TEXT(L46,"mmmm")</f>
        <v>ספטמבר</v>
      </c>
      <c r="Z46">
        <f>IF(B46=N46,1,0)</f>
        <v>0</v>
      </c>
      <c r="AA46" t="str">
        <f>IF(Z46=1,IF(Q46="Won","Yes","No"),"No")</f>
        <v>No</v>
      </c>
      <c r="AB46" t="str">
        <f>IF(Z46=0,IF(Q46="Won","Yes","No"),"No")</f>
        <v>No</v>
      </c>
      <c r="AC46">
        <f>IF(M46+J46=0,0,M46/J46)</f>
        <v>0</v>
      </c>
      <c r="AD46">
        <f>K46+J46</f>
        <v>4</v>
      </c>
    </row>
    <row r="47" spans="1:30" x14ac:dyDescent="0.2">
      <c r="A47">
        <v>101</v>
      </c>
      <c r="B47" s="4" t="s">
        <v>69</v>
      </c>
      <c r="C47" t="s">
        <v>31</v>
      </c>
      <c r="D47">
        <v>4</v>
      </c>
      <c r="E47">
        <v>16</v>
      </c>
      <c r="F47" s="18">
        <v>18</v>
      </c>
      <c r="G47" s="18">
        <v>2</v>
      </c>
      <c r="H47" s="18">
        <v>0</v>
      </c>
      <c r="I47" s="18">
        <v>1</v>
      </c>
      <c r="J47" s="18">
        <v>5</v>
      </c>
      <c r="K47" s="18">
        <v>10</v>
      </c>
      <c r="L47" s="2">
        <v>45935</v>
      </c>
      <c r="M47" s="18">
        <v>2</v>
      </c>
      <c r="N47" t="s">
        <v>69</v>
      </c>
      <c r="O47" t="s">
        <v>70</v>
      </c>
      <c r="P47" t="s">
        <v>71</v>
      </c>
      <c r="Q47" t="s">
        <v>20</v>
      </c>
      <c r="R47" t="s">
        <v>133</v>
      </c>
      <c r="S47" t="s">
        <v>118</v>
      </c>
      <c r="T47" t="str" cm="1">
        <f t="array" ref="T47">INDEX(_xlfn.TEXTSPLIT(U47,"il"),2)</f>
        <v>/images/msites/leagues/logos150/99de806e3a05d70f135319c9840e2b81.png</v>
      </c>
      <c r="U47" s="17" t="s">
        <v>136</v>
      </c>
      <c r="V47">
        <f>IF(Q47="Won",3,IF(Q47="Lose",0,1))</f>
        <v>3</v>
      </c>
      <c r="W47">
        <f>MONTH(L47)</f>
        <v>10</v>
      </c>
      <c r="X47" t="str">
        <f>TEXT(L47,"dddd")</f>
        <v>יום ראשון</v>
      </c>
      <c r="Y47" t="str">
        <f>TEXT(L47,"mmmm")</f>
        <v>אוקטובר</v>
      </c>
      <c r="Z47">
        <f>IF(B47=N47,1,0)</f>
        <v>1</v>
      </c>
      <c r="AA47" t="str">
        <f>IF(Z47=1,IF(Q47="Won","Yes","No"),"No")</f>
        <v>Yes</v>
      </c>
      <c r="AB47" t="str">
        <f>IF(Z47=0,IF(Q47="Won","Yes","No"),"No")</f>
        <v>No</v>
      </c>
      <c r="AC47">
        <f>IF(M47+J47=0,0,M47/J47)</f>
        <v>0.4</v>
      </c>
      <c r="AD47">
        <f>K47+J47</f>
        <v>15</v>
      </c>
    </row>
    <row r="48" spans="1:30" x14ac:dyDescent="0.2">
      <c r="A48">
        <v>102</v>
      </c>
      <c r="B48" s="4" t="s">
        <v>69</v>
      </c>
      <c r="C48" t="s">
        <v>27</v>
      </c>
      <c r="D48">
        <v>3</v>
      </c>
      <c r="E48">
        <v>14</v>
      </c>
      <c r="F48" s="18">
        <v>14</v>
      </c>
      <c r="G48" s="18">
        <v>3</v>
      </c>
      <c r="H48" s="18">
        <v>0</v>
      </c>
      <c r="I48" s="18">
        <v>1</v>
      </c>
      <c r="J48" s="18">
        <v>6</v>
      </c>
      <c r="K48" s="18">
        <v>3</v>
      </c>
      <c r="L48" s="2">
        <v>45948</v>
      </c>
      <c r="M48" s="18">
        <v>2</v>
      </c>
      <c r="N48" t="s">
        <v>69</v>
      </c>
      <c r="O48" t="s">
        <v>71</v>
      </c>
      <c r="P48" t="s">
        <v>30</v>
      </c>
      <c r="Q48" t="s">
        <v>20</v>
      </c>
      <c r="R48" t="s">
        <v>133</v>
      </c>
      <c r="S48" t="s">
        <v>118</v>
      </c>
      <c r="T48" t="str" cm="1">
        <f t="array" ref="T48">INDEX(_xlfn.TEXTSPLIT(U48,"il"),2)</f>
        <v>/images/msites/leagues/logos150/99de806e3a05d70f135319c9840e2b81.png</v>
      </c>
      <c r="U48" s="17" t="s">
        <v>136</v>
      </c>
      <c r="V48">
        <f>IF(Q48="Won",3,IF(Q48="Lose",0,1))</f>
        <v>3</v>
      </c>
      <c r="W48">
        <f>MONTH(L48)</f>
        <v>10</v>
      </c>
      <c r="X48" t="str">
        <f>TEXT(L48,"dddd")</f>
        <v>יום שבת</v>
      </c>
      <c r="Y48" t="str">
        <f>TEXT(L48,"mmmm")</f>
        <v>אוקטובר</v>
      </c>
      <c r="Z48">
        <f>IF(B48=N48,1,0)</f>
        <v>1</v>
      </c>
      <c r="AA48" t="str">
        <f>IF(Z48=1,IF(Q48="Won","Yes","No"),"No")</f>
        <v>Yes</v>
      </c>
      <c r="AB48" t="str">
        <f>IF(Z48=0,IF(Q48="Won","Yes","No"),"No")</f>
        <v>No</v>
      </c>
      <c r="AC48">
        <f>IF(M48+J48=0,0,M48/J48)</f>
        <v>0.33333333333333331</v>
      </c>
      <c r="AD48">
        <f>K48+J48</f>
        <v>9</v>
      </c>
    </row>
    <row r="49" spans="1:30" x14ac:dyDescent="0.2">
      <c r="A49">
        <v>103</v>
      </c>
      <c r="B49" s="4" t="s">
        <v>69</v>
      </c>
      <c r="C49" t="s">
        <v>24</v>
      </c>
      <c r="D49">
        <v>5</v>
      </c>
      <c r="E49">
        <v>7</v>
      </c>
      <c r="F49" s="18">
        <v>12</v>
      </c>
      <c r="G49" s="18">
        <v>2</v>
      </c>
      <c r="H49" s="18">
        <v>0</v>
      </c>
      <c r="I49" s="18">
        <v>0</v>
      </c>
      <c r="J49" s="18">
        <v>4</v>
      </c>
      <c r="K49" s="18">
        <v>5</v>
      </c>
      <c r="L49" s="2">
        <v>45955</v>
      </c>
      <c r="M49" s="18">
        <v>0</v>
      </c>
      <c r="N49" t="s">
        <v>30</v>
      </c>
      <c r="O49" t="s">
        <v>30</v>
      </c>
      <c r="P49" t="s">
        <v>30</v>
      </c>
      <c r="Q49" t="s">
        <v>28</v>
      </c>
      <c r="R49" t="s">
        <v>133</v>
      </c>
      <c r="S49" t="s">
        <v>118</v>
      </c>
      <c r="T49" t="str" cm="1">
        <f t="array" ref="T49">INDEX(_xlfn.TEXTSPLIT(U49,"il"),2)</f>
        <v>/images/msites/leagues/logos150/99de806e3a05d70f135319c9840e2b81.png</v>
      </c>
      <c r="U49" s="17" t="s">
        <v>136</v>
      </c>
      <c r="V49">
        <f>IF(Q49="Won",3,IF(Q49="Lose",0,1))</f>
        <v>1</v>
      </c>
      <c r="W49">
        <f>MONTH(L49)</f>
        <v>10</v>
      </c>
      <c r="X49" t="str">
        <f>TEXT(L49,"dddd")</f>
        <v>יום שבת</v>
      </c>
      <c r="Y49" t="str">
        <f>TEXT(L49,"mmmm")</f>
        <v>אוקטובר</v>
      </c>
      <c r="Z49">
        <f>IF(B49=N49,1,0)</f>
        <v>0</v>
      </c>
      <c r="AA49" t="str">
        <f>IF(Z49=1,IF(Q49="Won","Yes","No"),"No")</f>
        <v>No</v>
      </c>
      <c r="AB49" t="str">
        <f>IF(Z49=0,IF(Q49="Won","Yes","No"),"No")</f>
        <v>No</v>
      </c>
      <c r="AC49">
        <f>IF(M49+J49=0,0,M49/J49)</f>
        <v>0</v>
      </c>
      <c r="AD49">
        <f>K49+J49</f>
        <v>9</v>
      </c>
    </row>
    <row r="50" spans="1:30" x14ac:dyDescent="0.2">
      <c r="A50">
        <v>104</v>
      </c>
      <c r="B50" s="4" t="s">
        <v>69</v>
      </c>
      <c r="C50" t="s">
        <v>36</v>
      </c>
      <c r="D50">
        <v>1</v>
      </c>
      <c r="E50">
        <v>14</v>
      </c>
      <c r="F50" s="18">
        <v>19</v>
      </c>
      <c r="G50" s="18">
        <v>3</v>
      </c>
      <c r="H50" s="18">
        <v>2</v>
      </c>
      <c r="I50" s="18">
        <v>1</v>
      </c>
      <c r="J50" s="18">
        <v>2</v>
      </c>
      <c r="K50" s="18">
        <v>0</v>
      </c>
      <c r="L50" s="2">
        <v>45928</v>
      </c>
      <c r="M50" s="18">
        <v>0</v>
      </c>
      <c r="N50" t="s">
        <v>30</v>
      </c>
      <c r="O50" t="s">
        <v>30</v>
      </c>
      <c r="P50" t="s">
        <v>30</v>
      </c>
      <c r="Q50" t="s">
        <v>28</v>
      </c>
      <c r="R50" t="s">
        <v>133</v>
      </c>
      <c r="S50" t="s">
        <v>118</v>
      </c>
      <c r="T50" t="str" cm="1">
        <f t="array" ref="T50">INDEX(_xlfn.TEXTSPLIT(U50,"il"),2)</f>
        <v>/images/msites/leagues/logos150/99de806e3a05d70f135319c9840e2b81.png</v>
      </c>
      <c r="U50" s="17" t="s">
        <v>136</v>
      </c>
      <c r="V50">
        <f>IF(Q50="Won",3,IF(Q50="Lose",0,1))</f>
        <v>1</v>
      </c>
      <c r="W50">
        <f>MONTH(L50)</f>
        <v>9</v>
      </c>
      <c r="X50" t="str">
        <f>TEXT(L50,"dddd")</f>
        <v>יום ראשון</v>
      </c>
      <c r="Y50" t="str">
        <f>TEXT(L50,"mmmm")</f>
        <v>ספטמבר</v>
      </c>
      <c r="Z50">
        <f>IF(B50=N50,1,0)</f>
        <v>0</v>
      </c>
      <c r="AA50" t="str">
        <f>IF(Z50=1,IF(Q50="Won","Yes","No"),"No")</f>
        <v>No</v>
      </c>
      <c r="AB50" t="str">
        <f>IF(Z50=0,IF(Q50="Won","Yes","No"),"No")</f>
        <v>No</v>
      </c>
      <c r="AC50">
        <f>IF(M50+J50=0,0,M50/J50)</f>
        <v>0</v>
      </c>
      <c r="AD50">
        <f>K50+J50</f>
        <v>2</v>
      </c>
    </row>
    <row r="51" spans="1:30" x14ac:dyDescent="0.2">
      <c r="A51">
        <v>105</v>
      </c>
      <c r="B51" s="4" t="s">
        <v>69</v>
      </c>
      <c r="C51" t="s">
        <v>47</v>
      </c>
      <c r="D51">
        <v>2</v>
      </c>
      <c r="E51">
        <v>10</v>
      </c>
      <c r="F51" s="18">
        <v>9</v>
      </c>
      <c r="G51" s="18">
        <v>3</v>
      </c>
      <c r="H51" s="18">
        <v>0</v>
      </c>
      <c r="I51" s="18">
        <v>1</v>
      </c>
      <c r="J51" s="18">
        <v>2</v>
      </c>
      <c r="K51" s="18">
        <v>4</v>
      </c>
      <c r="L51" s="2">
        <v>45921</v>
      </c>
      <c r="M51" s="18">
        <v>1</v>
      </c>
      <c r="N51" t="s">
        <v>39</v>
      </c>
      <c r="O51" t="s">
        <v>100</v>
      </c>
      <c r="P51" t="s">
        <v>30</v>
      </c>
      <c r="Q51" t="s">
        <v>23</v>
      </c>
      <c r="R51" t="s">
        <v>133</v>
      </c>
      <c r="S51" t="s">
        <v>118</v>
      </c>
      <c r="T51" t="str" cm="1">
        <f t="array" ref="T51">INDEX(_xlfn.TEXTSPLIT(U51,"il"),2)</f>
        <v>/images/msites/leagues/logos150/99de806e3a05d70f135319c9840e2b81.png</v>
      </c>
      <c r="U51" s="17" t="s">
        <v>136</v>
      </c>
      <c r="V51">
        <f>IF(Q51="Won",3,IF(Q51="Lose",0,1))</f>
        <v>0</v>
      </c>
      <c r="W51">
        <f>MONTH(L51)</f>
        <v>9</v>
      </c>
      <c r="X51" t="str">
        <f>TEXT(L51,"dddd")</f>
        <v>יום ראשון</v>
      </c>
      <c r="Y51" t="str">
        <f>TEXT(L51,"mmmm")</f>
        <v>ספטמבר</v>
      </c>
      <c r="Z51">
        <f>IF(B51=N51,1,0)</f>
        <v>0</v>
      </c>
      <c r="AA51" t="str">
        <f>IF(Z51=1,IF(Q51="Won","Yes","No"),"No")</f>
        <v>No</v>
      </c>
      <c r="AB51" t="str">
        <f>IF(Z51=0,IF(Q51="Won","Yes","No"),"No")</f>
        <v>No</v>
      </c>
      <c r="AC51">
        <f>IF(M51+J51=0,0,M51/J51)</f>
        <v>0.5</v>
      </c>
      <c r="AD51">
        <f>K51+J51</f>
        <v>6</v>
      </c>
    </row>
    <row r="52" spans="1:30" x14ac:dyDescent="0.2">
      <c r="A52">
        <v>111</v>
      </c>
      <c r="B52" s="5" t="s">
        <v>72</v>
      </c>
      <c r="C52" t="s">
        <v>36</v>
      </c>
      <c r="D52">
        <v>2</v>
      </c>
      <c r="E52">
        <v>6</v>
      </c>
      <c r="F52" s="18">
        <v>12</v>
      </c>
      <c r="G52" s="18">
        <v>0</v>
      </c>
      <c r="H52" s="18">
        <v>0</v>
      </c>
      <c r="I52" s="18">
        <v>4</v>
      </c>
      <c r="J52" s="18">
        <v>2</v>
      </c>
      <c r="K52" s="18">
        <v>4</v>
      </c>
      <c r="L52" s="2">
        <v>45927</v>
      </c>
      <c r="M52" s="18">
        <v>1</v>
      </c>
      <c r="N52" t="s">
        <v>72</v>
      </c>
      <c r="O52" t="s">
        <v>73</v>
      </c>
      <c r="P52" t="s">
        <v>74</v>
      </c>
      <c r="Q52" t="s">
        <v>23</v>
      </c>
      <c r="R52" t="s">
        <v>133</v>
      </c>
      <c r="S52" t="s">
        <v>120</v>
      </c>
      <c r="T52" t="str" cm="1">
        <f t="array" ref="T52">INDEX(_xlfn.TEXTSPLIT(U52,"il"),2)</f>
        <v>/images/msites/leagues/logos150/ee0d44686dc69645219db2f9607c15a9.png</v>
      </c>
      <c r="U52" s="19" t="s">
        <v>148</v>
      </c>
      <c r="V52">
        <f>IF(Q52="Won",3,IF(Q52="Lose",0,1))</f>
        <v>0</v>
      </c>
      <c r="W52">
        <f>MONTH(L52)</f>
        <v>9</v>
      </c>
      <c r="X52" t="str">
        <f>TEXT(L52,"dddd")</f>
        <v>יום שבת</v>
      </c>
      <c r="Y52" t="str">
        <f>TEXT(L52,"mmmm")</f>
        <v>ספטמבר</v>
      </c>
      <c r="Z52">
        <f>IF(B52=N52,1,0)</f>
        <v>1</v>
      </c>
      <c r="AA52" t="str">
        <f>IF(Z52=1,IF(Q52="Won","Yes","No"),"No")</f>
        <v>No</v>
      </c>
      <c r="AB52" t="str">
        <f>IF(Z52=0,IF(Q52="Won","Yes","No"),"No")</f>
        <v>No</v>
      </c>
      <c r="AC52">
        <f>IF(M52+J52=0,0,M52/J52)</f>
        <v>0.5</v>
      </c>
      <c r="AD52">
        <f>K52+J52</f>
        <v>6</v>
      </c>
    </row>
    <row r="53" spans="1:30" x14ac:dyDescent="0.2">
      <c r="A53">
        <v>112</v>
      </c>
      <c r="B53" s="5" t="s">
        <v>72</v>
      </c>
      <c r="C53" t="s">
        <v>27</v>
      </c>
      <c r="D53">
        <v>2</v>
      </c>
      <c r="E53">
        <v>8</v>
      </c>
      <c r="F53" s="18">
        <v>13</v>
      </c>
      <c r="G53" s="18">
        <v>1</v>
      </c>
      <c r="H53" s="18">
        <v>0</v>
      </c>
      <c r="I53" s="18">
        <v>3</v>
      </c>
      <c r="J53" s="18">
        <v>0</v>
      </c>
      <c r="K53" s="18">
        <v>3</v>
      </c>
      <c r="L53" s="2">
        <v>45948</v>
      </c>
      <c r="M53" s="18">
        <v>0</v>
      </c>
      <c r="N53" t="s">
        <v>30</v>
      </c>
      <c r="O53" t="s">
        <v>30</v>
      </c>
      <c r="P53" t="s">
        <v>30</v>
      </c>
      <c r="Q53" t="s">
        <v>28</v>
      </c>
      <c r="R53" t="s">
        <v>133</v>
      </c>
      <c r="S53" t="s">
        <v>120</v>
      </c>
      <c r="T53" t="str" cm="1">
        <f t="array" ref="T53">INDEX(_xlfn.TEXTSPLIT(U53,"il"),2)</f>
        <v>/images/msites/leagues/logos150/ee0d44686dc69645219db2f9607c15a9.png</v>
      </c>
      <c r="U53" s="19" t="s">
        <v>148</v>
      </c>
      <c r="V53">
        <f>IF(Q53="Won",3,IF(Q53="Lose",0,1))</f>
        <v>1</v>
      </c>
      <c r="W53">
        <f>MONTH(L53)</f>
        <v>10</v>
      </c>
      <c r="X53" t="str">
        <f>TEXT(L53,"dddd")</f>
        <v>יום שבת</v>
      </c>
      <c r="Y53" t="str">
        <f>TEXT(L53,"mmmm")</f>
        <v>אוקטובר</v>
      </c>
      <c r="Z53">
        <f>IF(B53=N53,1,0)</f>
        <v>0</v>
      </c>
      <c r="AA53" t="str">
        <f>IF(Z53=1,IF(Q53="Won","Yes","No"),"No")</f>
        <v>No</v>
      </c>
      <c r="AB53" t="str">
        <f>IF(Z53=0,IF(Q53="Won","Yes","No"),"No")</f>
        <v>No</v>
      </c>
      <c r="AC53">
        <f>IF(M53+J53=0,0,M53/J53)</f>
        <v>0</v>
      </c>
      <c r="AD53">
        <f>K53+J53</f>
        <v>3</v>
      </c>
    </row>
    <row r="54" spans="1:30" x14ac:dyDescent="0.2">
      <c r="A54">
        <v>113</v>
      </c>
      <c r="B54" s="5" t="s">
        <v>72</v>
      </c>
      <c r="C54" t="s">
        <v>24</v>
      </c>
      <c r="D54">
        <v>6</v>
      </c>
      <c r="E54">
        <v>12</v>
      </c>
      <c r="F54" s="18">
        <v>7</v>
      </c>
      <c r="G54" s="18">
        <v>0</v>
      </c>
      <c r="H54" s="18">
        <v>0</v>
      </c>
      <c r="I54" s="18">
        <v>0</v>
      </c>
      <c r="J54" s="18">
        <v>2</v>
      </c>
      <c r="K54" s="18">
        <v>2</v>
      </c>
      <c r="L54" s="2">
        <v>45955</v>
      </c>
      <c r="M54" s="18">
        <v>0</v>
      </c>
      <c r="N54" t="s">
        <v>30</v>
      </c>
      <c r="O54" t="s">
        <v>30</v>
      </c>
      <c r="P54" t="s">
        <v>30</v>
      </c>
      <c r="Q54" t="s">
        <v>28</v>
      </c>
      <c r="R54" t="s">
        <v>133</v>
      </c>
      <c r="S54" t="s">
        <v>120</v>
      </c>
      <c r="T54" t="str" cm="1">
        <f t="array" ref="T54">INDEX(_xlfn.TEXTSPLIT(U54,"il"),2)</f>
        <v>/images/msites/leagues/logos150/ee0d44686dc69645219db2f9607c15a9.png</v>
      </c>
      <c r="U54" s="19" t="s">
        <v>148</v>
      </c>
      <c r="V54">
        <f>IF(Q54="Won",3,IF(Q54="Lose",0,1))</f>
        <v>1</v>
      </c>
      <c r="W54">
        <f>MONTH(L54)</f>
        <v>10</v>
      </c>
      <c r="X54" t="str">
        <f>TEXT(L54,"dddd")</f>
        <v>יום שבת</v>
      </c>
      <c r="Y54" t="str">
        <f>TEXT(L54,"mmmm")</f>
        <v>אוקטובר</v>
      </c>
      <c r="Z54">
        <f>IF(B54=N54,1,0)</f>
        <v>0</v>
      </c>
      <c r="AA54" t="str">
        <f>IF(Z54=1,IF(Q54="Won","Yes","No"),"No")</f>
        <v>No</v>
      </c>
      <c r="AB54" t="str">
        <f>IF(Z54=0,IF(Q54="Won","Yes","No"),"No")</f>
        <v>No</v>
      </c>
      <c r="AC54">
        <f>IF(M54+J54=0,0,M54/J54)</f>
        <v>0</v>
      </c>
      <c r="AD54">
        <f>K54+J54</f>
        <v>4</v>
      </c>
    </row>
    <row r="55" spans="1:30" x14ac:dyDescent="0.2">
      <c r="A55">
        <v>114</v>
      </c>
      <c r="B55" s="5" t="s">
        <v>72</v>
      </c>
      <c r="C55" t="s">
        <v>31</v>
      </c>
      <c r="D55">
        <v>5</v>
      </c>
      <c r="E55">
        <v>15</v>
      </c>
      <c r="F55" s="18">
        <v>19</v>
      </c>
      <c r="G55" s="18">
        <v>3</v>
      </c>
      <c r="H55" s="18">
        <v>0</v>
      </c>
      <c r="I55" s="18">
        <v>1</v>
      </c>
      <c r="J55" s="18">
        <v>7</v>
      </c>
      <c r="K55" s="18">
        <v>6</v>
      </c>
      <c r="L55" s="2">
        <v>45934</v>
      </c>
      <c r="M55" s="18">
        <v>0</v>
      </c>
      <c r="N55" t="s">
        <v>77</v>
      </c>
      <c r="O55" t="s">
        <v>101</v>
      </c>
      <c r="P55" t="s">
        <v>30</v>
      </c>
      <c r="Q55" t="s">
        <v>23</v>
      </c>
      <c r="R55" t="s">
        <v>133</v>
      </c>
      <c r="S55" t="s">
        <v>120</v>
      </c>
      <c r="T55" t="str" cm="1">
        <f t="array" ref="T55">INDEX(_xlfn.TEXTSPLIT(U55,"il"),2)</f>
        <v>/images/msites/leagues/logos150/ee0d44686dc69645219db2f9607c15a9.png</v>
      </c>
      <c r="U55" s="19" t="s">
        <v>148</v>
      </c>
      <c r="V55">
        <f>IF(Q55="Won",3,IF(Q55="Lose",0,1))</f>
        <v>0</v>
      </c>
      <c r="W55">
        <f>MONTH(L55)</f>
        <v>10</v>
      </c>
      <c r="X55" t="str">
        <f>TEXT(L55,"dddd")</f>
        <v>יום שבת</v>
      </c>
      <c r="Y55" t="str">
        <f>TEXT(L55,"mmmm")</f>
        <v>אוקטובר</v>
      </c>
      <c r="Z55">
        <f>IF(B55=N55,1,0)</f>
        <v>0</v>
      </c>
      <c r="AA55" t="str">
        <f>IF(Z55=1,IF(Q55="Won","Yes","No"),"No")</f>
        <v>No</v>
      </c>
      <c r="AB55" t="str">
        <f>IF(Z55=0,IF(Q55="Won","Yes","No"),"No")</f>
        <v>No</v>
      </c>
      <c r="AC55">
        <f>IF(M55+J55=0,0,M55/J55)</f>
        <v>0</v>
      </c>
      <c r="AD55">
        <f>K55+J55</f>
        <v>13</v>
      </c>
    </row>
    <row r="56" spans="1:30" x14ac:dyDescent="0.2">
      <c r="A56">
        <v>115</v>
      </c>
      <c r="B56" s="5" t="s">
        <v>72</v>
      </c>
      <c r="C56" t="s">
        <v>47</v>
      </c>
      <c r="D56">
        <v>3</v>
      </c>
      <c r="E56">
        <v>9</v>
      </c>
      <c r="F56" s="18">
        <v>20</v>
      </c>
      <c r="G56" s="18">
        <v>5</v>
      </c>
      <c r="H56" s="18">
        <v>0</v>
      </c>
      <c r="I56" s="18">
        <v>0</v>
      </c>
      <c r="J56" s="18">
        <v>2</v>
      </c>
      <c r="K56" s="18">
        <v>2</v>
      </c>
      <c r="L56" s="2">
        <v>45920</v>
      </c>
      <c r="M56" s="18">
        <v>1</v>
      </c>
      <c r="N56" t="s">
        <v>72</v>
      </c>
      <c r="O56" t="s">
        <v>102</v>
      </c>
      <c r="P56" t="s">
        <v>73</v>
      </c>
      <c r="Q56" t="s">
        <v>23</v>
      </c>
      <c r="R56" t="s">
        <v>133</v>
      </c>
      <c r="S56" t="s">
        <v>120</v>
      </c>
      <c r="T56" t="str" cm="1">
        <f t="array" ref="T56">INDEX(_xlfn.TEXTSPLIT(U56,"il"),2)</f>
        <v>/images/msites/leagues/logos150/ee0d44686dc69645219db2f9607c15a9.png</v>
      </c>
      <c r="U56" s="19" t="s">
        <v>148</v>
      </c>
      <c r="V56">
        <f>IF(Q56="Won",3,IF(Q56="Lose",0,1))</f>
        <v>0</v>
      </c>
      <c r="W56">
        <f>MONTH(L56)</f>
        <v>9</v>
      </c>
      <c r="X56" t="str">
        <f>TEXT(L56,"dddd")</f>
        <v>יום שבת</v>
      </c>
      <c r="Y56" t="str">
        <f>TEXT(L56,"mmmm")</f>
        <v>ספטמבר</v>
      </c>
      <c r="Z56">
        <f>IF(B56=N56,1,0)</f>
        <v>1</v>
      </c>
      <c r="AA56" t="str">
        <f>IF(Z56=1,IF(Q56="Won","Yes","No"),"No")</f>
        <v>No</v>
      </c>
      <c r="AB56" t="str">
        <f>IF(Z56=0,IF(Q56="Won","Yes","No"),"No")</f>
        <v>No</v>
      </c>
      <c r="AC56">
        <f>IF(M56+J56=0,0,M56/J56)</f>
        <v>0.5</v>
      </c>
      <c r="AD56">
        <f>K56+J56</f>
        <v>4</v>
      </c>
    </row>
    <row r="57" spans="1:30" x14ac:dyDescent="0.2">
      <c r="A57">
        <v>121</v>
      </c>
      <c r="B57" s="13" t="s">
        <v>77</v>
      </c>
      <c r="C57" t="s">
        <v>47</v>
      </c>
      <c r="D57">
        <v>5</v>
      </c>
      <c r="E57">
        <v>11</v>
      </c>
      <c r="F57" s="18">
        <v>14</v>
      </c>
      <c r="G57" s="18">
        <v>3</v>
      </c>
      <c r="H57" s="18">
        <v>0</v>
      </c>
      <c r="I57" s="18">
        <v>1</v>
      </c>
      <c r="J57" s="18">
        <v>6</v>
      </c>
      <c r="K57" s="18">
        <v>2</v>
      </c>
      <c r="L57" s="2">
        <v>45920</v>
      </c>
      <c r="M57" s="18">
        <v>2</v>
      </c>
      <c r="N57" t="s">
        <v>77</v>
      </c>
      <c r="O57" t="s">
        <v>75</v>
      </c>
      <c r="P57" t="s">
        <v>76</v>
      </c>
      <c r="Q57" t="s">
        <v>23</v>
      </c>
      <c r="R57" t="s">
        <v>133</v>
      </c>
      <c r="S57" t="s">
        <v>129</v>
      </c>
      <c r="T57" t="str" cm="1">
        <f t="array" ref="T57">INDEX(_xlfn.TEXTSPLIT(U57,"il"),2)</f>
        <v>/images/msites/leagues/logos150/b2bf5d207fc934a16ecf87e2d18f56b6.png</v>
      </c>
      <c r="U57" s="19" t="s">
        <v>146</v>
      </c>
      <c r="V57">
        <f>IF(Q57="Won",3,IF(Q57="Lose",0,1))</f>
        <v>0</v>
      </c>
      <c r="W57">
        <f>MONTH(L57)</f>
        <v>9</v>
      </c>
      <c r="X57" t="str">
        <f>TEXT(L57,"dddd")</f>
        <v>יום שבת</v>
      </c>
      <c r="Y57" t="str">
        <f>TEXT(L57,"mmmm")</f>
        <v>ספטמבר</v>
      </c>
      <c r="Z57">
        <f>IF(B57=N57,1,0)</f>
        <v>1</v>
      </c>
      <c r="AA57" t="str">
        <f>IF(Z57=1,IF(Q57="Won","Yes","No"),"No")</f>
        <v>No</v>
      </c>
      <c r="AB57" t="str">
        <f>IF(Z57=0,IF(Q57="Won","Yes","No"),"No")</f>
        <v>No</v>
      </c>
      <c r="AC57">
        <f>IF(M57+J57=0,0,M57/J57)</f>
        <v>0.33333333333333331</v>
      </c>
      <c r="AD57">
        <f>K57+J57</f>
        <v>8</v>
      </c>
    </row>
    <row r="58" spans="1:30" x14ac:dyDescent="0.2">
      <c r="A58">
        <v>122</v>
      </c>
      <c r="B58" s="13" t="s">
        <v>77</v>
      </c>
      <c r="C58" t="s">
        <v>24</v>
      </c>
      <c r="D58">
        <v>5</v>
      </c>
      <c r="E58">
        <v>13</v>
      </c>
      <c r="F58" s="18">
        <v>15</v>
      </c>
      <c r="G58" s="18">
        <v>3</v>
      </c>
      <c r="H58" s="18">
        <v>0</v>
      </c>
      <c r="I58" s="18">
        <v>2</v>
      </c>
      <c r="J58" s="18">
        <v>5</v>
      </c>
      <c r="K58" s="18">
        <v>4</v>
      </c>
      <c r="L58" s="2">
        <v>45955</v>
      </c>
      <c r="M58" s="18">
        <v>1</v>
      </c>
      <c r="N58" t="s">
        <v>56</v>
      </c>
      <c r="O58" t="s">
        <v>54</v>
      </c>
      <c r="P58" t="s">
        <v>96</v>
      </c>
      <c r="Q58" t="s">
        <v>28</v>
      </c>
      <c r="R58" t="s">
        <v>133</v>
      </c>
      <c r="S58" t="s">
        <v>129</v>
      </c>
      <c r="T58" t="str" cm="1">
        <f t="array" ref="T58">INDEX(_xlfn.TEXTSPLIT(U58,"il"),2)</f>
        <v>/images/msites/leagues/logos150/b2bf5d207fc934a16ecf87e2d18f56b6.png</v>
      </c>
      <c r="U58" s="19" t="s">
        <v>146</v>
      </c>
      <c r="V58">
        <f>IF(Q58="Won",3,IF(Q58="Lose",0,1))</f>
        <v>1</v>
      </c>
      <c r="W58">
        <f>MONTH(L58)</f>
        <v>10</v>
      </c>
      <c r="X58" t="str">
        <f>TEXT(L58,"dddd")</f>
        <v>יום שבת</v>
      </c>
      <c r="Y58" t="str">
        <f>TEXT(L58,"mmmm")</f>
        <v>אוקטובר</v>
      </c>
      <c r="Z58">
        <f>IF(B58=N58,1,0)</f>
        <v>0</v>
      </c>
      <c r="AA58" t="str">
        <f>IF(Z58=1,IF(Q58="Won","Yes","No"),"No")</f>
        <v>No</v>
      </c>
      <c r="AB58" t="str">
        <f>IF(Z58=0,IF(Q58="Won","Yes","No"),"No")</f>
        <v>No</v>
      </c>
      <c r="AC58">
        <f>IF(M58+J58=0,0,M58/J58)</f>
        <v>0.2</v>
      </c>
      <c r="AD58">
        <f>K58+J58</f>
        <v>9</v>
      </c>
    </row>
    <row r="59" spans="1:30" x14ac:dyDescent="0.2">
      <c r="A59">
        <v>123</v>
      </c>
      <c r="B59" s="13" t="s">
        <v>77</v>
      </c>
      <c r="C59" t="s">
        <v>36</v>
      </c>
      <c r="D59">
        <v>1</v>
      </c>
      <c r="E59">
        <v>19</v>
      </c>
      <c r="F59" s="18">
        <v>7</v>
      </c>
      <c r="G59" s="18">
        <v>6</v>
      </c>
      <c r="H59" s="18">
        <v>1</v>
      </c>
      <c r="I59" s="18">
        <v>3</v>
      </c>
      <c r="J59" s="18">
        <v>5</v>
      </c>
      <c r="K59" s="18">
        <v>4</v>
      </c>
      <c r="L59" s="2">
        <v>45927</v>
      </c>
      <c r="M59" s="18">
        <v>2</v>
      </c>
      <c r="N59" t="s">
        <v>77</v>
      </c>
      <c r="O59" t="s">
        <v>99</v>
      </c>
      <c r="P59" t="s">
        <v>30</v>
      </c>
      <c r="Q59" t="s">
        <v>23</v>
      </c>
      <c r="R59" t="s">
        <v>133</v>
      </c>
      <c r="S59" t="s">
        <v>129</v>
      </c>
      <c r="T59" t="str" cm="1">
        <f t="array" ref="T59">INDEX(_xlfn.TEXTSPLIT(U59,"il"),2)</f>
        <v>/images/msites/leagues/logos150/b2bf5d207fc934a16ecf87e2d18f56b6.png</v>
      </c>
      <c r="U59" s="19" t="s">
        <v>146</v>
      </c>
      <c r="V59">
        <f>IF(Q59="Won",3,IF(Q59="Lose",0,1))</f>
        <v>0</v>
      </c>
      <c r="W59">
        <f>MONTH(L59)</f>
        <v>9</v>
      </c>
      <c r="X59" t="str">
        <f>TEXT(L59,"dddd")</f>
        <v>יום שבת</v>
      </c>
      <c r="Y59" t="str">
        <f>TEXT(L59,"mmmm")</f>
        <v>ספטמבר</v>
      </c>
      <c r="Z59">
        <f>IF(B59=N59,1,0)</f>
        <v>1</v>
      </c>
      <c r="AA59" t="str">
        <f>IF(Z59=1,IF(Q59="Won","Yes","No"),"No")</f>
        <v>No</v>
      </c>
      <c r="AB59" t="str">
        <f>IF(Z59=0,IF(Q59="Won","Yes","No"),"No")</f>
        <v>No</v>
      </c>
      <c r="AC59">
        <f>IF(M59+J59=0,0,M59/J59)</f>
        <v>0.4</v>
      </c>
      <c r="AD59">
        <f>K59+J59</f>
        <v>9</v>
      </c>
    </row>
    <row r="60" spans="1:30" x14ac:dyDescent="0.2">
      <c r="A60">
        <v>124</v>
      </c>
      <c r="B60" s="13" t="s">
        <v>77</v>
      </c>
      <c r="C60" t="s">
        <v>31</v>
      </c>
      <c r="D60">
        <v>3</v>
      </c>
      <c r="E60">
        <v>19</v>
      </c>
      <c r="F60" s="18">
        <v>15</v>
      </c>
      <c r="G60" s="18">
        <v>4</v>
      </c>
      <c r="H60" s="18">
        <v>0</v>
      </c>
      <c r="I60" s="18">
        <v>2</v>
      </c>
      <c r="J60" s="18">
        <v>4</v>
      </c>
      <c r="K60" s="18">
        <v>5</v>
      </c>
      <c r="L60" s="2">
        <v>45934</v>
      </c>
      <c r="M60" s="18">
        <v>1</v>
      </c>
      <c r="N60" t="s">
        <v>77</v>
      </c>
      <c r="O60" t="s">
        <v>101</v>
      </c>
      <c r="P60" t="s">
        <v>30</v>
      </c>
      <c r="Q60" t="s">
        <v>20</v>
      </c>
      <c r="R60" t="s">
        <v>133</v>
      </c>
      <c r="S60" t="s">
        <v>129</v>
      </c>
      <c r="T60" t="str" cm="1">
        <f t="array" ref="T60">INDEX(_xlfn.TEXTSPLIT(U60,"il"),2)</f>
        <v>/images/msites/leagues/logos150/b2bf5d207fc934a16ecf87e2d18f56b6.png</v>
      </c>
      <c r="U60" s="19" t="s">
        <v>146</v>
      </c>
      <c r="V60">
        <f>IF(Q60="Won",3,IF(Q60="Lose",0,1))</f>
        <v>3</v>
      </c>
      <c r="W60">
        <f>MONTH(L60)</f>
        <v>10</v>
      </c>
      <c r="X60" t="str">
        <f>TEXT(L60,"dddd")</f>
        <v>יום שבת</v>
      </c>
      <c r="Y60" t="str">
        <f>TEXT(L60,"mmmm")</f>
        <v>אוקטובר</v>
      </c>
      <c r="Z60">
        <f>IF(B60=N60,1,0)</f>
        <v>1</v>
      </c>
      <c r="AA60" t="str">
        <f>IF(Z60=1,IF(Q60="Won","Yes","No"),"No")</f>
        <v>Yes</v>
      </c>
      <c r="AB60" t="str">
        <f>IF(Z60=0,IF(Q60="Won","Yes","No"),"No")</f>
        <v>No</v>
      </c>
      <c r="AC60">
        <f>IF(M60+J60=0,0,M60/J60)</f>
        <v>0.25</v>
      </c>
      <c r="AD60">
        <f>K60+J60</f>
        <v>9</v>
      </c>
    </row>
    <row r="61" spans="1:30" x14ac:dyDescent="0.2">
      <c r="A61">
        <v>125</v>
      </c>
      <c r="B61" s="13" t="s">
        <v>77</v>
      </c>
      <c r="C61" t="s">
        <v>27</v>
      </c>
      <c r="D61">
        <v>5</v>
      </c>
      <c r="E61">
        <v>16</v>
      </c>
      <c r="F61" s="18">
        <v>14</v>
      </c>
      <c r="G61" s="18">
        <v>4</v>
      </c>
      <c r="H61" s="18">
        <v>1</v>
      </c>
      <c r="I61" s="18">
        <v>1</v>
      </c>
      <c r="J61" s="18">
        <v>2</v>
      </c>
      <c r="K61" s="18">
        <v>9</v>
      </c>
      <c r="L61" s="2">
        <v>45948</v>
      </c>
      <c r="M61" s="18">
        <v>0</v>
      </c>
      <c r="N61" t="s">
        <v>69</v>
      </c>
      <c r="O61" t="s">
        <v>103</v>
      </c>
      <c r="P61" t="s">
        <v>104</v>
      </c>
      <c r="Q61" t="s">
        <v>23</v>
      </c>
      <c r="R61" t="s">
        <v>133</v>
      </c>
      <c r="S61" t="s">
        <v>129</v>
      </c>
      <c r="T61" t="str" cm="1">
        <f t="array" ref="T61">INDEX(_xlfn.TEXTSPLIT(U61,"il"),2)</f>
        <v>/images/msites/leagues/logos150/b2bf5d207fc934a16ecf87e2d18f56b6.png</v>
      </c>
      <c r="U61" s="19" t="s">
        <v>146</v>
      </c>
      <c r="V61">
        <f>IF(Q61="Won",3,IF(Q61="Lose",0,1))</f>
        <v>0</v>
      </c>
      <c r="W61">
        <f>MONTH(L61)</f>
        <v>10</v>
      </c>
      <c r="X61" t="str">
        <f>TEXT(L61,"dddd")</f>
        <v>יום שבת</v>
      </c>
      <c r="Y61" t="str">
        <f>TEXT(L61,"mmmm")</f>
        <v>אוקטובר</v>
      </c>
      <c r="Z61">
        <f>IF(B61=N61,1,0)</f>
        <v>0</v>
      </c>
      <c r="AA61" t="str">
        <f>IF(Z61=1,IF(Q61="Won","Yes","No"),"No")</f>
        <v>No</v>
      </c>
      <c r="AB61" t="str">
        <f>IF(Z61=0,IF(Q61="Won","Yes","No"),"No")</f>
        <v>No</v>
      </c>
      <c r="AC61">
        <f>IF(M61+J61=0,0,M61/J61)</f>
        <v>0</v>
      </c>
      <c r="AD61">
        <f>K61+J61</f>
        <v>11</v>
      </c>
    </row>
    <row r="62" spans="1:30" x14ac:dyDescent="0.2">
      <c r="A62">
        <v>131</v>
      </c>
      <c r="B62" s="3" t="s">
        <v>88</v>
      </c>
      <c r="C62" t="s">
        <v>24</v>
      </c>
      <c r="D62">
        <v>6</v>
      </c>
      <c r="E62">
        <v>8</v>
      </c>
      <c r="F62" s="18">
        <v>13</v>
      </c>
      <c r="G62" s="18">
        <v>4</v>
      </c>
      <c r="H62" s="18">
        <v>0</v>
      </c>
      <c r="I62" s="18">
        <v>3</v>
      </c>
      <c r="J62" s="18">
        <v>6</v>
      </c>
      <c r="K62" s="18">
        <v>5</v>
      </c>
      <c r="L62" s="2">
        <v>45957</v>
      </c>
      <c r="M62" s="18">
        <v>3</v>
      </c>
      <c r="N62" t="s">
        <v>88</v>
      </c>
      <c r="O62" t="s">
        <v>89</v>
      </c>
      <c r="P62" t="s">
        <v>90</v>
      </c>
      <c r="Q62" t="s">
        <v>20</v>
      </c>
      <c r="R62" t="s">
        <v>133</v>
      </c>
      <c r="S62" t="s">
        <v>130</v>
      </c>
      <c r="T62" t="str" cm="1">
        <f t="array" ref="T62">INDEX(_xlfn.TEXTSPLIT(U62,"il"),2)</f>
        <v>/images/msites/leagues/logos150/5c429a9362004ba00f158c39b1a3043a.png</v>
      </c>
      <c r="U62" s="19" t="s">
        <v>142</v>
      </c>
      <c r="V62">
        <f>IF(Q62="Won",3,IF(Q62="Lose",0,1))</f>
        <v>3</v>
      </c>
      <c r="W62">
        <f>MONTH(L62)</f>
        <v>10</v>
      </c>
      <c r="X62" t="str">
        <f>TEXT(L62,"dddd")</f>
        <v>יום שני</v>
      </c>
      <c r="Y62" t="str">
        <f>TEXT(L62,"mmmm")</f>
        <v>אוקטובר</v>
      </c>
      <c r="Z62">
        <f>IF(B62=N62,1,0)</f>
        <v>1</v>
      </c>
      <c r="AA62" t="str">
        <f>IF(Z62=1,IF(Q62="Won","Yes","No"),"No")</f>
        <v>Yes</v>
      </c>
      <c r="AB62" t="str">
        <f>IF(Z62=0,IF(Q62="Won","Yes","No"),"No")</f>
        <v>No</v>
      </c>
      <c r="AC62">
        <f>IF(M62+J62=0,0,M62/J62)</f>
        <v>0.5</v>
      </c>
      <c r="AD62">
        <f>K62+J62</f>
        <v>11</v>
      </c>
    </row>
    <row r="63" spans="1:30" x14ac:dyDescent="0.2">
      <c r="A63">
        <v>132</v>
      </c>
      <c r="B63" s="3" t="s">
        <v>88</v>
      </c>
      <c r="C63" t="s">
        <v>31</v>
      </c>
      <c r="D63">
        <v>6</v>
      </c>
      <c r="E63">
        <v>16</v>
      </c>
      <c r="F63" s="18">
        <v>23</v>
      </c>
      <c r="G63" s="18">
        <v>3</v>
      </c>
      <c r="H63" s="18">
        <v>0</v>
      </c>
      <c r="I63" s="18">
        <v>3</v>
      </c>
      <c r="J63" s="18">
        <v>6</v>
      </c>
      <c r="K63" s="18">
        <v>2</v>
      </c>
      <c r="L63" s="2">
        <v>45935</v>
      </c>
      <c r="M63" s="18">
        <v>1</v>
      </c>
      <c r="N63" t="s">
        <v>88</v>
      </c>
      <c r="O63" t="s">
        <v>97</v>
      </c>
      <c r="P63" t="s">
        <v>30</v>
      </c>
      <c r="Q63" t="s">
        <v>28</v>
      </c>
      <c r="R63" t="s">
        <v>133</v>
      </c>
      <c r="S63" t="s">
        <v>130</v>
      </c>
      <c r="T63" t="str" cm="1">
        <f t="array" ref="T63">INDEX(_xlfn.TEXTSPLIT(U63,"il"),2)</f>
        <v>/images/msites/leagues/logos150/5c429a9362004ba00f158c39b1a3043a.png</v>
      </c>
      <c r="U63" s="19" t="s">
        <v>142</v>
      </c>
      <c r="V63">
        <f>IF(Q63="Won",3,IF(Q63="Lose",0,1))</f>
        <v>1</v>
      </c>
      <c r="W63">
        <f>MONTH(L63)</f>
        <v>10</v>
      </c>
      <c r="X63" t="str">
        <f>TEXT(L63,"dddd")</f>
        <v>יום ראשון</v>
      </c>
      <c r="Y63" t="str">
        <f>TEXT(L63,"mmmm")</f>
        <v>אוקטובר</v>
      </c>
      <c r="Z63">
        <f>IF(B63=N63,1,0)</f>
        <v>1</v>
      </c>
      <c r="AA63" t="str">
        <f>IF(Z63=1,IF(Q63="Won","Yes","No"),"No")</f>
        <v>No</v>
      </c>
      <c r="AB63" t="str">
        <f>IF(Z63=0,IF(Q63="Won","Yes","No"),"No")</f>
        <v>No</v>
      </c>
      <c r="AC63">
        <f>IF(M63+J63=0,0,M63/J63)</f>
        <v>0.16666666666666666</v>
      </c>
      <c r="AD63">
        <f>K63+J63</f>
        <v>8</v>
      </c>
    </row>
    <row r="64" spans="1:30" x14ac:dyDescent="0.2">
      <c r="A64">
        <v>133</v>
      </c>
      <c r="B64" s="3" t="s">
        <v>88</v>
      </c>
      <c r="C64" t="s">
        <v>36</v>
      </c>
      <c r="D64">
        <v>8</v>
      </c>
      <c r="E64">
        <v>19</v>
      </c>
      <c r="F64" s="18">
        <v>13</v>
      </c>
      <c r="G64" s="18">
        <v>1</v>
      </c>
      <c r="H64" s="18">
        <v>0</v>
      </c>
      <c r="I64" s="18">
        <v>3</v>
      </c>
      <c r="J64" s="18">
        <v>4</v>
      </c>
      <c r="K64" s="18">
        <v>5</v>
      </c>
      <c r="L64" s="2">
        <v>45928</v>
      </c>
      <c r="M64" s="18">
        <v>0</v>
      </c>
      <c r="N64" t="s">
        <v>30</v>
      </c>
      <c r="O64" t="s">
        <v>30</v>
      </c>
      <c r="P64" t="s">
        <v>30</v>
      </c>
      <c r="Q64" t="s">
        <v>28</v>
      </c>
      <c r="R64" t="s">
        <v>133</v>
      </c>
      <c r="S64" t="s">
        <v>130</v>
      </c>
      <c r="T64" t="str" cm="1">
        <f t="array" ref="T64">INDEX(_xlfn.TEXTSPLIT(U64,"il"),2)</f>
        <v>/images/msites/leagues/logos150/5c429a9362004ba00f158c39b1a3043a.png</v>
      </c>
      <c r="U64" s="19" t="s">
        <v>142</v>
      </c>
      <c r="V64">
        <f>IF(Q64="Won",3,IF(Q64="Lose",0,1))</f>
        <v>1</v>
      </c>
      <c r="W64">
        <f>MONTH(L64)</f>
        <v>9</v>
      </c>
      <c r="X64" t="str">
        <f>TEXT(L64,"dddd")</f>
        <v>יום ראשון</v>
      </c>
      <c r="Y64" t="str">
        <f>TEXT(L64,"mmmm")</f>
        <v>ספטמבר</v>
      </c>
      <c r="Z64">
        <f>IF(B64=N64,1,0)</f>
        <v>0</v>
      </c>
      <c r="AA64" t="str">
        <f>IF(Z64=1,IF(Q64="Won","Yes","No"),"No")</f>
        <v>No</v>
      </c>
      <c r="AB64" t="str">
        <f>IF(Z64=0,IF(Q64="Won","Yes","No"),"No")</f>
        <v>No</v>
      </c>
      <c r="AC64">
        <f>IF(M64+J64=0,0,M64/J64)</f>
        <v>0</v>
      </c>
      <c r="AD64">
        <f>K64+J64</f>
        <v>9</v>
      </c>
    </row>
    <row r="65" spans="1:30" x14ac:dyDescent="0.2">
      <c r="A65">
        <v>134</v>
      </c>
      <c r="B65" s="3" t="s">
        <v>88</v>
      </c>
      <c r="C65" t="s">
        <v>105</v>
      </c>
      <c r="D65">
        <v>4</v>
      </c>
      <c r="E65">
        <v>10</v>
      </c>
      <c r="F65" s="18">
        <v>14</v>
      </c>
      <c r="G65" s="18">
        <v>0</v>
      </c>
      <c r="H65" s="18">
        <v>0</v>
      </c>
      <c r="I65" s="18">
        <v>1</v>
      </c>
      <c r="J65" s="18">
        <v>3</v>
      </c>
      <c r="K65" s="18">
        <v>7</v>
      </c>
      <c r="L65" s="2">
        <v>45953</v>
      </c>
      <c r="M65" s="18">
        <v>0</v>
      </c>
      <c r="N65" t="s">
        <v>106</v>
      </c>
      <c r="O65" t="s">
        <v>107</v>
      </c>
      <c r="P65" t="s">
        <v>108</v>
      </c>
      <c r="Q65" t="s">
        <v>23</v>
      </c>
      <c r="R65" t="s">
        <v>133</v>
      </c>
      <c r="S65" t="s">
        <v>130</v>
      </c>
      <c r="T65" t="str" cm="1">
        <f t="array" ref="T65">INDEX(_xlfn.TEXTSPLIT(U65,"il"),2)</f>
        <v>/images/msites/leagues/logos150/5c429a9362004ba00f158c39b1a3043a.png</v>
      </c>
      <c r="U65" s="19" t="s">
        <v>142</v>
      </c>
      <c r="V65">
        <f>IF(Q65="Won",3,IF(Q65="Lose",0,1))</f>
        <v>0</v>
      </c>
      <c r="W65">
        <f>MONTH(L65)</f>
        <v>10</v>
      </c>
      <c r="X65" t="str">
        <f>TEXT(L65,"dddd")</f>
        <v>יום חמישי</v>
      </c>
      <c r="Y65" t="str">
        <f>TEXT(L65,"mmmm")</f>
        <v>אוקטובר</v>
      </c>
      <c r="Z65">
        <f>IF(B65=N65,1,0)</f>
        <v>0</v>
      </c>
      <c r="AA65" t="str">
        <f>IF(Z65=1,IF(Q65="Won","Yes","No"),"No")</f>
        <v>No</v>
      </c>
      <c r="AB65" t="str">
        <f>IF(Z65=0,IF(Q65="Won","Yes","No"),"No")</f>
        <v>No</v>
      </c>
      <c r="AC65">
        <f>IF(M65+J65=0,0,M65/J65)</f>
        <v>0</v>
      </c>
      <c r="AD65">
        <f>K65+J65</f>
        <v>10</v>
      </c>
    </row>
    <row r="66" spans="1:30" x14ac:dyDescent="0.2">
      <c r="A66">
        <v>135</v>
      </c>
      <c r="B66" s="3" t="s">
        <v>88</v>
      </c>
      <c r="C66" t="s">
        <v>105</v>
      </c>
      <c r="D66">
        <v>3</v>
      </c>
      <c r="E66">
        <v>18</v>
      </c>
      <c r="F66" s="18">
        <v>14</v>
      </c>
      <c r="G66" s="18">
        <v>3</v>
      </c>
      <c r="H66" s="18">
        <v>0</v>
      </c>
      <c r="I66" s="18">
        <v>1</v>
      </c>
      <c r="J66" s="18">
        <v>3</v>
      </c>
      <c r="K66" s="18">
        <v>4</v>
      </c>
      <c r="L66" s="2">
        <v>45924</v>
      </c>
      <c r="M66" s="18">
        <v>0</v>
      </c>
      <c r="N66" t="s">
        <v>30</v>
      </c>
      <c r="O66" t="s">
        <v>30</v>
      </c>
      <c r="P66" t="s">
        <v>30</v>
      </c>
      <c r="Q66" t="s">
        <v>28</v>
      </c>
      <c r="R66" t="s">
        <v>133</v>
      </c>
      <c r="S66" t="s">
        <v>130</v>
      </c>
      <c r="T66" t="str" cm="1">
        <f t="array" ref="T66">INDEX(_xlfn.TEXTSPLIT(U66,"il"),2)</f>
        <v>/images/msites/leagues/logos150/5c429a9362004ba00f158c39b1a3043a.png</v>
      </c>
      <c r="U66" s="19" t="s">
        <v>142</v>
      </c>
      <c r="V66">
        <f>IF(Q66="Won",3,IF(Q66="Lose",0,1))</f>
        <v>1</v>
      </c>
      <c r="W66">
        <f>MONTH(L66)</f>
        <v>9</v>
      </c>
      <c r="X66" t="str">
        <f>TEXT(L66,"dddd")</f>
        <v>יום רביעי</v>
      </c>
      <c r="Y66" t="str">
        <f>TEXT(L66,"mmmm")</f>
        <v>ספטמבר</v>
      </c>
      <c r="Z66">
        <f>IF(B66=N66,1,0)</f>
        <v>0</v>
      </c>
      <c r="AA66" t="str">
        <f>IF(Z66=1,IF(Q66="Won","Yes","No"),"No")</f>
        <v>No</v>
      </c>
      <c r="AB66" t="str">
        <f>IF(Z66=0,IF(Q66="Won","Yes","No"),"No")</f>
        <v>No</v>
      </c>
      <c r="AC66">
        <f t="shared" ref="AC66:AC72" si="0">IF(M66+J66=0,0,M66/J66)</f>
        <v>0</v>
      </c>
      <c r="AD66">
        <f t="shared" ref="AD66:AD72" si="1">K66+J66</f>
        <v>7</v>
      </c>
    </row>
    <row r="67" spans="1:30" x14ac:dyDescent="0.2">
      <c r="A67">
        <v>136</v>
      </c>
      <c r="B67" s="3" t="s">
        <v>88</v>
      </c>
      <c r="C67" t="s">
        <v>105</v>
      </c>
      <c r="D67">
        <v>5</v>
      </c>
      <c r="E67">
        <v>8</v>
      </c>
      <c r="F67" s="18">
        <v>11</v>
      </c>
      <c r="G67" s="18">
        <v>1</v>
      </c>
      <c r="H67" s="18">
        <v>0</v>
      </c>
      <c r="I67" s="18">
        <v>2</v>
      </c>
      <c r="J67" s="18">
        <v>4</v>
      </c>
      <c r="K67" s="18">
        <v>6</v>
      </c>
      <c r="L67" s="2">
        <v>45932</v>
      </c>
      <c r="M67" s="18">
        <v>1</v>
      </c>
      <c r="N67" t="s">
        <v>88</v>
      </c>
      <c r="O67" t="s">
        <v>109</v>
      </c>
      <c r="P67" t="s">
        <v>110</v>
      </c>
      <c r="Q67" t="s">
        <v>23</v>
      </c>
      <c r="R67" t="s">
        <v>133</v>
      </c>
      <c r="S67" t="s">
        <v>130</v>
      </c>
      <c r="T67" t="str" cm="1">
        <f t="array" ref="T67">INDEX(_xlfn.TEXTSPLIT(U67,"il"),2)</f>
        <v>/images/msites/leagues/logos150/5c429a9362004ba00f158c39b1a3043a.png</v>
      </c>
      <c r="U67" s="19" t="s">
        <v>142</v>
      </c>
      <c r="V67">
        <f>IF(Q67="Won",3,IF(Q67="Lose",0,1))</f>
        <v>0</v>
      </c>
      <c r="W67">
        <f>MONTH(L67)</f>
        <v>10</v>
      </c>
      <c r="X67" t="str">
        <f>TEXT(L67,"dddd")</f>
        <v>יום חמישי</v>
      </c>
      <c r="Y67" t="str">
        <f>TEXT(L67,"mmmm")</f>
        <v>אוקטובר</v>
      </c>
      <c r="Z67">
        <f>IF(B67=N67,1,0)</f>
        <v>1</v>
      </c>
      <c r="AC67">
        <f t="shared" si="0"/>
        <v>0.25</v>
      </c>
      <c r="AD67">
        <f t="shared" si="1"/>
        <v>10</v>
      </c>
    </row>
    <row r="68" spans="1:30" x14ac:dyDescent="0.2">
      <c r="A68">
        <v>141</v>
      </c>
      <c r="B68" s="16" t="s">
        <v>95</v>
      </c>
      <c r="C68" t="s">
        <v>47</v>
      </c>
      <c r="D68">
        <v>8</v>
      </c>
      <c r="E68">
        <v>9</v>
      </c>
      <c r="F68" s="18">
        <v>10</v>
      </c>
      <c r="G68" s="18">
        <v>1</v>
      </c>
      <c r="H68" s="18">
        <v>0</v>
      </c>
      <c r="I68" s="18">
        <v>1</v>
      </c>
      <c r="J68" s="18">
        <v>8</v>
      </c>
      <c r="K68" s="18">
        <v>9</v>
      </c>
      <c r="L68" s="2">
        <v>45921</v>
      </c>
      <c r="M68" s="18">
        <v>3</v>
      </c>
      <c r="N68" t="s">
        <v>39</v>
      </c>
      <c r="O68" t="s">
        <v>100</v>
      </c>
      <c r="P68" t="s">
        <v>30</v>
      </c>
      <c r="Q68" t="s">
        <v>20</v>
      </c>
      <c r="R68" t="s">
        <v>133</v>
      </c>
      <c r="S68" t="s">
        <v>131</v>
      </c>
      <c r="T68" t="str" cm="1">
        <f t="array" ref="T68">INDEX(_xlfn.TEXTSPLIT(U68,"il"),2)</f>
        <v>/images/msites/leagues/logos150/6b2ac67411b8df64a687a62ebb51742f.png</v>
      </c>
      <c r="U68" s="19" t="s">
        <v>137</v>
      </c>
      <c r="V68">
        <f>IF(Q68="Won",3,IF(Q68="Lose",0,1))</f>
        <v>3</v>
      </c>
      <c r="W68">
        <f>MONTH(L68)</f>
        <v>9</v>
      </c>
      <c r="X68" t="str">
        <f>TEXT(L68,"dddd")</f>
        <v>יום ראשון</v>
      </c>
      <c r="Y68" t="str">
        <f>TEXT(L68,"mmmm")</f>
        <v>ספטמבר</v>
      </c>
      <c r="Z68">
        <f>IF(B68=N68,1,0)</f>
        <v>1</v>
      </c>
      <c r="AA68" t="str">
        <f>IF(Z68=1,IF(Q68="Won","Yes","No"),"No")</f>
        <v>Yes</v>
      </c>
      <c r="AB68" t="str">
        <f>IF(Z68=0,IF(Q68="Won","Yes","No"),"No")</f>
        <v>No</v>
      </c>
      <c r="AC68">
        <f t="shared" si="0"/>
        <v>0.375</v>
      </c>
      <c r="AD68">
        <f t="shared" si="1"/>
        <v>17</v>
      </c>
    </row>
    <row r="69" spans="1:30" x14ac:dyDescent="0.2">
      <c r="A69">
        <v>142</v>
      </c>
      <c r="B69" s="16" t="s">
        <v>95</v>
      </c>
      <c r="C69" t="s">
        <v>24</v>
      </c>
      <c r="D69">
        <v>8</v>
      </c>
      <c r="E69">
        <v>20</v>
      </c>
      <c r="F69" s="18">
        <v>14</v>
      </c>
      <c r="G69" s="18">
        <v>3</v>
      </c>
      <c r="H69" s="18">
        <v>0</v>
      </c>
      <c r="I69" s="18">
        <v>6</v>
      </c>
      <c r="J69" s="18">
        <v>5</v>
      </c>
      <c r="K69" s="18">
        <v>7</v>
      </c>
      <c r="L69" s="2">
        <v>45956</v>
      </c>
      <c r="M69" s="18">
        <v>1</v>
      </c>
      <c r="N69" t="s">
        <v>39</v>
      </c>
      <c r="O69" t="s">
        <v>111</v>
      </c>
      <c r="P69" t="s">
        <v>112</v>
      </c>
      <c r="Q69" t="s">
        <v>20</v>
      </c>
      <c r="R69" t="s">
        <v>133</v>
      </c>
      <c r="S69" t="s">
        <v>131</v>
      </c>
      <c r="T69" t="str" cm="1">
        <f t="array" ref="T69">INDEX(_xlfn.TEXTSPLIT(U69,"il"),2)</f>
        <v>/images/msites/leagues/logos150/6b2ac67411b8df64a687a62ebb51742f.png</v>
      </c>
      <c r="U69" s="19" t="s">
        <v>137</v>
      </c>
      <c r="V69">
        <f>IF(Q69="Won",3,IF(Q69="Lose",0,1))</f>
        <v>3</v>
      </c>
      <c r="W69">
        <f>MONTH(L69)</f>
        <v>10</v>
      </c>
      <c r="X69" t="str">
        <f>TEXT(L69,"dddd")</f>
        <v>יום ראשון</v>
      </c>
      <c r="Y69" t="str">
        <f>TEXT(L69,"mmmm")</f>
        <v>אוקטובר</v>
      </c>
      <c r="Z69">
        <f>IF(B69=N69,1,0)</f>
        <v>1</v>
      </c>
      <c r="AA69" t="str">
        <f>IF(Z69=1,IF(Q69="Won","Yes","No"),"No")</f>
        <v>Yes</v>
      </c>
      <c r="AB69" t="str">
        <f>IF(Z69=0,IF(Q69="Won","Yes","No"),"No")</f>
        <v>No</v>
      </c>
      <c r="AC69">
        <f t="shared" si="0"/>
        <v>0.2</v>
      </c>
      <c r="AD69">
        <f t="shared" si="1"/>
        <v>12</v>
      </c>
    </row>
    <row r="70" spans="1:30" x14ac:dyDescent="0.2">
      <c r="A70">
        <v>143</v>
      </c>
      <c r="B70" s="16" t="s">
        <v>95</v>
      </c>
      <c r="C70" t="s">
        <v>27</v>
      </c>
      <c r="D70">
        <v>6</v>
      </c>
      <c r="E70">
        <v>22</v>
      </c>
      <c r="F70" s="18">
        <v>17</v>
      </c>
      <c r="G70" s="18">
        <v>2</v>
      </c>
      <c r="H70" s="18">
        <v>0</v>
      </c>
      <c r="I70" s="18">
        <v>2</v>
      </c>
      <c r="J70" s="18">
        <v>3</v>
      </c>
      <c r="K70" s="18">
        <v>8</v>
      </c>
      <c r="L70" s="2">
        <v>45948</v>
      </c>
      <c r="M70" s="18">
        <v>0</v>
      </c>
      <c r="N70" t="s">
        <v>91</v>
      </c>
      <c r="O70" t="s">
        <v>61</v>
      </c>
      <c r="P70" t="s">
        <v>92</v>
      </c>
      <c r="Q70" t="s">
        <v>23</v>
      </c>
      <c r="R70" t="s">
        <v>133</v>
      </c>
      <c r="S70" t="s">
        <v>131</v>
      </c>
      <c r="T70" t="str" cm="1">
        <f t="array" ref="T70">INDEX(_xlfn.TEXTSPLIT(U70,"il"),2)</f>
        <v>/images/msites/leagues/logos150/6b2ac67411b8df64a687a62ebb51742f.png</v>
      </c>
      <c r="U70" s="19" t="s">
        <v>137</v>
      </c>
      <c r="V70">
        <f>IF(Q70="Won",3,IF(Q70="Lose",0,1))</f>
        <v>0</v>
      </c>
      <c r="W70">
        <f>MONTH(L70)</f>
        <v>10</v>
      </c>
      <c r="X70" t="str">
        <f>TEXT(L70,"dddd")</f>
        <v>יום שבת</v>
      </c>
      <c r="Y70" t="str">
        <f>TEXT(L70,"mmmm")</f>
        <v>אוקטובר</v>
      </c>
      <c r="Z70">
        <f>IF(B70=N70,1,0)</f>
        <v>0</v>
      </c>
      <c r="AA70" t="str">
        <f>IF(Z70=1,IF(Q70="Won","Yes","No"),"No")</f>
        <v>No</v>
      </c>
      <c r="AB70" t="str">
        <f>IF(Z70=0,IF(Q70="Won","Yes","No"),"No")</f>
        <v>No</v>
      </c>
      <c r="AC70">
        <f t="shared" si="0"/>
        <v>0</v>
      </c>
      <c r="AD70">
        <f t="shared" si="1"/>
        <v>11</v>
      </c>
    </row>
    <row r="71" spans="1:30" x14ac:dyDescent="0.2">
      <c r="A71">
        <v>144</v>
      </c>
      <c r="B71" s="16" t="s">
        <v>95</v>
      </c>
      <c r="C71" t="s">
        <v>31</v>
      </c>
      <c r="D71">
        <v>6</v>
      </c>
      <c r="E71">
        <v>16</v>
      </c>
      <c r="F71" s="18">
        <v>22</v>
      </c>
      <c r="G71" s="18">
        <v>4</v>
      </c>
      <c r="H71" s="18">
        <v>0</v>
      </c>
      <c r="I71" s="18">
        <v>1</v>
      </c>
      <c r="J71" s="18">
        <v>5</v>
      </c>
      <c r="K71" s="18">
        <v>5</v>
      </c>
      <c r="L71" s="2">
        <v>45934</v>
      </c>
      <c r="M71" s="18">
        <v>2</v>
      </c>
      <c r="N71" t="s">
        <v>39</v>
      </c>
      <c r="O71" t="s">
        <v>40</v>
      </c>
      <c r="P71" t="s">
        <v>44</v>
      </c>
      <c r="Q71" t="s">
        <v>20</v>
      </c>
      <c r="R71" t="s">
        <v>133</v>
      </c>
      <c r="S71" t="s">
        <v>131</v>
      </c>
      <c r="T71" t="str" cm="1">
        <f t="array" ref="T71">INDEX(_xlfn.TEXTSPLIT(U71,"il"),2)</f>
        <v>/images/msites/leagues/logos150/6b2ac67411b8df64a687a62ebb51742f.png</v>
      </c>
      <c r="U71" s="19" t="s">
        <v>137</v>
      </c>
      <c r="V71">
        <f>IF(Q71="Won",3,IF(Q71="Lose",0,1))</f>
        <v>3</v>
      </c>
      <c r="W71">
        <f>MONTH(L71)</f>
        <v>10</v>
      </c>
      <c r="X71" t="str">
        <f>TEXT(L71,"dddd")</f>
        <v>יום שבת</v>
      </c>
      <c r="Y71" t="str">
        <f>TEXT(L71,"mmmm")</f>
        <v>אוקטובר</v>
      </c>
      <c r="Z71">
        <f>IF(B71=N71,1,0)</f>
        <v>1</v>
      </c>
      <c r="AA71" t="str">
        <f>IF(Z71=1,IF(Q71="Won","Yes","No"),"No")</f>
        <v>Yes</v>
      </c>
      <c r="AB71" t="str">
        <f>IF(Z71=0,IF(Q71="Won","Yes","No"),"No")</f>
        <v>No</v>
      </c>
      <c r="AC71">
        <f t="shared" si="0"/>
        <v>0.4</v>
      </c>
      <c r="AD71">
        <f t="shared" si="1"/>
        <v>10</v>
      </c>
    </row>
    <row r="72" spans="1:30" x14ac:dyDescent="0.2">
      <c r="A72">
        <v>145</v>
      </c>
      <c r="B72" s="16" t="s">
        <v>95</v>
      </c>
      <c r="C72" t="s">
        <v>36</v>
      </c>
      <c r="D72">
        <v>9</v>
      </c>
      <c r="E72">
        <v>12</v>
      </c>
      <c r="F72" s="18">
        <v>25</v>
      </c>
      <c r="G72" s="18">
        <v>3</v>
      </c>
      <c r="H72" s="18">
        <v>0</v>
      </c>
      <c r="I72" s="18">
        <v>2</v>
      </c>
      <c r="J72" s="18">
        <v>3</v>
      </c>
      <c r="K72" s="18">
        <v>3</v>
      </c>
      <c r="L72" s="2">
        <v>45929</v>
      </c>
      <c r="M72" s="18">
        <v>1</v>
      </c>
      <c r="N72" t="s">
        <v>39</v>
      </c>
      <c r="O72" t="s">
        <v>113</v>
      </c>
      <c r="P72" t="s">
        <v>30</v>
      </c>
      <c r="Q72" t="s">
        <v>20</v>
      </c>
      <c r="R72" t="s">
        <v>133</v>
      </c>
      <c r="S72" t="s">
        <v>131</v>
      </c>
      <c r="T72" t="str" cm="1">
        <f t="array" ref="T72">INDEX(_xlfn.TEXTSPLIT(U72,"il"),2)</f>
        <v>/images/msites/leagues/logos150/6b2ac67411b8df64a687a62ebb51742f.png</v>
      </c>
      <c r="U72" s="19" t="s">
        <v>137</v>
      </c>
      <c r="V72">
        <f>IF(Q72="Won",3,IF(Q72="Lose",0,1))</f>
        <v>3</v>
      </c>
      <c r="W72">
        <f>MONTH(L72)</f>
        <v>9</v>
      </c>
      <c r="X72" t="str">
        <f>TEXT(L72,"dddd")</f>
        <v>יום שני</v>
      </c>
      <c r="Y72" t="str">
        <f>TEXT(L72,"mmmm")</f>
        <v>ספטמבר</v>
      </c>
      <c r="Z72">
        <f>IF(B72=N72,1,0)</f>
        <v>1</v>
      </c>
      <c r="AA72" t="str">
        <f>IF(Z72=1,IF(Q72="Won","Yes","No"),"No")</f>
        <v>Yes</v>
      </c>
      <c r="AB72" t="str">
        <f>IF(Z72=0,IF(Q72="Won","Yes","No"),"No")</f>
        <v>No</v>
      </c>
      <c r="AC72">
        <f t="shared" si="0"/>
        <v>0.33333333333333331</v>
      </c>
      <c r="AD72">
        <f t="shared" si="1"/>
        <v>6</v>
      </c>
    </row>
  </sheetData>
  <hyperlinks>
    <hyperlink ref="U47" r:id="rId1" xr:uid="{21799220-1945-8148-A73E-39AB43F68C1B}"/>
    <hyperlink ref="U48" r:id="rId2" xr:uid="{3755E6C5-10AC-624A-BB1B-34F55699E2D6}"/>
    <hyperlink ref="U49" r:id="rId3" xr:uid="{58FBCE0E-C0D7-9B45-BDE5-6A48D3782CF9}"/>
    <hyperlink ref="U50" r:id="rId4" xr:uid="{9F0C8147-013A-B14D-8E2C-170F058B8082}"/>
    <hyperlink ref="U51" r:id="rId5" xr:uid="{77F75E06-9BD6-EA45-AD3F-A59895088A82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compareWonLoseFirstScoreTeam</vt:lpstr>
      <vt:lpstr>totalGoalTeamByPointResult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סהר חיים יעקב</dc:creator>
  <cp:lastModifiedBy>סהר חיים יעקב</cp:lastModifiedBy>
  <dcterms:created xsi:type="dcterms:W3CDTF">2025-10-30T17:08:53Z</dcterms:created>
  <dcterms:modified xsi:type="dcterms:W3CDTF">2025-11-03T13:28:28Z</dcterms:modified>
</cp:coreProperties>
</file>